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23040" windowHeight="9372" tabRatio="796"/>
  </bookViews>
  <sheets>
    <sheet name="Instructions" sheetId="1" r:id="rId1"/>
    <sheet name="Dataset" sheetId="2" r:id="rId2"/>
    <sheet name="Quantity Between 10 to 20" sheetId="3" r:id="rId3"/>
    <sheet name="Laptop" sheetId="11" r:id="rId4"/>
    <sheet name="Electronics and accessories" sheetId="10" r:id="rId5"/>
    <sheet name="Product count" sheetId="8" r:id="rId6"/>
    <sheet name="Category vs price" sheetId="9" r:id="rId7"/>
    <sheet name="Price and Quantity" sheetId="12" r:id="rId8"/>
  </sheets>
  <calcPr calcId="152511"/>
  <pivotCaches>
    <pivotCache cacheId="1" r:id="rId9"/>
  </pivotCaches>
</workbook>
</file>

<file path=xl/calcChain.xml><?xml version="1.0" encoding="utf-8"?>
<calcChain xmlns="http://schemas.openxmlformats.org/spreadsheetml/2006/main">
  <c r="G5" i="2" l="1"/>
  <c r="G4" i="2"/>
  <c r="G2" i="2" l="1"/>
  <c r="G3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4" i="8"/>
  <c r="M15" i="2" l="1"/>
  <c r="K15" i="2"/>
  <c r="J15" i="2"/>
  <c r="M14" i="2"/>
  <c r="K14" i="2"/>
  <c r="J14" i="2"/>
  <c r="M13" i="2"/>
  <c r="K13" i="2"/>
  <c r="J13" i="2"/>
  <c r="M12" i="2"/>
  <c r="K12" i="2"/>
  <c r="J12" i="2"/>
  <c r="M11" i="2"/>
  <c r="K11" i="2"/>
  <c r="J11" i="2"/>
</calcChain>
</file>

<file path=xl/sharedStrings.xml><?xml version="1.0" encoding="utf-8"?>
<sst xmlns="http://schemas.openxmlformats.org/spreadsheetml/2006/main" count="537" uniqueCount="125">
  <si>
    <t>Perform the following in the dataset from the 'Dataset' sheet.</t>
  </si>
  <si>
    <t>1) Sorting:</t>
  </si>
  <si>
    <t>• Implement a multilevel sort to first sort the dataset by 'Category' in ascending order and then by 'Price' in descending order within each category.</t>
  </si>
  <si>
    <t>2) Filters:</t>
  </si>
  <si>
    <t xml:space="preserve">• Create another filtered view to show only products with quantity between 10 and 20. </t>
  </si>
  <si>
    <t>• Filter the dataset to display entries with 'Laptop' listed under the 'Product Name' column.</t>
  </si>
  <si>
    <t>3) VLOOKUP for retrieving Product Details:</t>
  </si>
  <si>
    <t>• Using the provided dataset, use VLOOKUP to find the Product Name, Price ($), and Category for the given Product IDs in the PURCHASE TABLE.</t>
  </si>
  <si>
    <t>4) HLOOKUP for determining Category Discounts:</t>
  </si>
  <si>
    <t>• Utilizing the DISCOUNT TABLE provided, use HLOOKUP to find the Discount applicable to each category of products in the PURCHASE TABLE.</t>
  </si>
  <si>
    <t>5) Product Analysis with Pivot Table:</t>
  </si>
  <si>
    <t xml:space="preserve">• Create a pivot table to summarize the products count, average price and total quantity for each 'Product Name'. </t>
  </si>
  <si>
    <t xml:space="preserve">• In the pivot table, add a filter to display only 'Electronics' and 'Accessories' category. </t>
  </si>
  <si>
    <t>• Create a pie chart to represent the product count distribution across different products.</t>
  </si>
  <si>
    <t>6) Category-wise Product Distribution Analysis:</t>
  </si>
  <si>
    <t>• Create another pivot table to summarize the category-wise count of products and average price.</t>
  </si>
  <si>
    <t xml:space="preserve">• Based on the pivot table, create a bar graph to visually represent the product count and average price for each category. </t>
  </si>
  <si>
    <t>7) Price vs. Quantity Scatter Plot Analysis:</t>
  </si>
  <si>
    <t>• Construct a scatter plot to explore the relationship between 'Price' and 'Quantity' for each product.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</si>
  <si>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</si>
  <si>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</si>
  <si>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</si>
  <si>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</si>
  <si>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</si>
  <si>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</si>
  <si>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</si>
  <si>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</si>
  <si>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</si>
  <si>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</si>
  <si>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DISCOUNT TABLE</t>
  </si>
  <si>
    <t>15-FEB-US</t>
  </si>
  <si>
    <t>Sneakers</t>
  </si>
  <si>
    <t>Nike</t>
  </si>
  <si>
    <t>Fashion</t>
  </si>
  <si>
    <t>Accessories</t>
  </si>
  <si>
    <t>Kitchen</t>
  </si>
  <si>
    <t>Outdoor</t>
  </si>
  <si>
    <t>03-MAR-US</t>
  </si>
  <si>
    <t>Coffee Maker</t>
  </si>
  <si>
    <t>Keurig</t>
  </si>
  <si>
    <t>Discount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</si>
  <si>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</si>
  <si>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</si>
  <si>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</si>
  <si>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</si>
  <si>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</si>
  <si>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</si>
  <si>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</si>
  <si>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</si>
  <si>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</si>
  <si>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PURCHASE TABLE</t>
  </si>
  <si>
    <t>19-JUL-UK</t>
  </si>
  <si>
    <t>T-shirt</t>
  </si>
  <si>
    <t>Adidas</t>
  </si>
  <si>
    <t>VLOOKUP</t>
  </si>
  <si>
    <t>HLOOKUP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</si>
  <si>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</si>
  <si>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</si>
  <si>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</si>
  <si>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</si>
  <si>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</si>
  <si>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</si>
  <si>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</si>
  <si>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</si>
  <si>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</si>
  <si>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</si>
  <si>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</si>
  <si>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14-MAY-RU</t>
  </si>
  <si>
    <t>25-NOV-AU</t>
  </si>
  <si>
    <t>09-JUL-FR</t>
  </si>
  <si>
    <t>08-DEC-DE</t>
  </si>
  <si>
    <t>Nespresso</t>
  </si>
  <si>
    <t>13-APR-CA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</si>
  <si>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</si>
  <si>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</si>
  <si>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</si>
  <si>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</si>
  <si>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</si>
  <si>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</si>
  <si>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</si>
  <si>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</si>
  <si>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</si>
  <si>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</si>
  <si>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</si>
  <si>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</si>
  <si>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</si>
  <si>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</si>
  <si>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</si>
  <si>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</si>
  <si>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</si>
  <si>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</si>
  <si>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</si>
  <si>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</si>
  <si>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</si>
  <si>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</si>
  <si>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</si>
  <si>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</si>
  <si>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</si>
  <si>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</si>
  <si>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</si>
  <si>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</si>
  <si>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</si>
  <si>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</si>
  <si>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</si>
  <si>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</si>
  <si>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</si>
  <si>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</si>
  <si>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</si>
  <si>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Toaster</t>
  </si>
  <si>
    <t>Hamilton</t>
  </si>
  <si>
    <t>24-MAY-CA</t>
  </si>
  <si>
    <t>Garmin</t>
  </si>
  <si>
    <t>02-DEC-CA</t>
  </si>
  <si>
    <t>Jeans</t>
  </si>
  <si>
    <t>Levi's</t>
  </si>
  <si>
    <t>Watch</t>
  </si>
  <si>
    <t>Casio</t>
  </si>
  <si>
    <t>Row Labels</t>
  </si>
  <si>
    <t>Grand Total</t>
  </si>
  <si>
    <t>Sum of Price ($)</t>
  </si>
  <si>
    <t>Sum of Quantity</t>
  </si>
  <si>
    <t>(All)</t>
  </si>
  <si>
    <t>(Multiple Items)</t>
  </si>
  <si>
    <t>Avarage price</t>
  </si>
  <si>
    <t>Average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</si>
</sst>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b/>
      <sz val="12"/>
      <color theme="1"/>
      <name val="&quot;Times New Roman&quot;"/>
    </font>
    <font>
      <sz val="12"/>
      <color theme="1"/>
      <name val="&quot;Times New Roman&quot;"/>
    </font>
    <font>
      <b/>
      <sz val="11"/>
      <color theme="1"/>
      <name val="Calibri"/>
    </font>
    <font>
      <b/>
      <sz val="12"/>
      <color theme="1"/>
      <name val="Times New Roman"/>
    </font>
    <font>
      <sz val="10"/>
      <color theme="1"/>
      <name val="Arial"/>
    </font>
    <font>
      <sz val="12"/>
      <color theme="1"/>
      <name val="Times New Roman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4C1130"/>
      <name val="Arial"/>
      <scheme val="minor"/>
    </font>
    <font>
      <sz val="10"/>
      <name val="Arial"/>
    </font>
    <font>
      <b/>
      <sz val="11"/>
      <color rgb="FFFFFFFF"/>
      <name val="Calibri"/>
    </font>
    <font>
      <sz val="11"/>
      <color rgb="FF000000"/>
      <name val="Calibri"/>
    </font>
    <font>
      <b/>
      <sz val="10"/>
      <color rgb="FFFFFFFF"/>
      <name val="Arial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5A6BD"/>
        <bgColor rgb="FFD5A6BD"/>
      </patternFill>
    </fill>
    <fill>
      <patternFill patternType="solid">
        <fgColor rgb="FF34A853"/>
        <bgColor rgb="FF34A853"/>
      </patternFill>
    </fill>
    <fill>
      <patternFill patternType="solid">
        <fgColor rgb="FFEEF7E3"/>
        <bgColor rgb="FFEEF7E3"/>
      </patternFill>
    </fill>
    <fill>
      <patternFill patternType="solid">
        <fgColor rgb="FFFFFF00"/>
        <bgColor rgb="FFFFFF00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indexed="65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/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/>
    <xf numFmtId="0" fontId="7" fillId="0" borderId="0" xfId="0" applyFont="1" applyAlignment="1"/>
    <xf numFmtId="0" fontId="5" fillId="0" borderId="0" xfId="0" applyFont="1" applyAlignment="1"/>
    <xf numFmtId="0" fontId="8" fillId="0" borderId="0" xfId="0" applyFont="1" applyAlignment="1">
      <alignment horizontal="center"/>
    </xf>
    <xf numFmtId="0" fontId="9" fillId="0" borderId="0" xfId="0" applyFont="1" applyAlignment="1"/>
    <xf numFmtId="0" fontId="13" fillId="4" borderId="2" xfId="0" applyFont="1" applyFill="1" applyBorder="1" applyAlignment="1">
      <alignment horizontal="center"/>
    </xf>
    <xf numFmtId="9" fontId="13" fillId="4" borderId="4" xfId="0" applyNumberFormat="1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9" fillId="0" borderId="0" xfId="0" applyFont="1"/>
    <xf numFmtId="0" fontId="6" fillId="7" borderId="0" xfId="0" applyFont="1" applyFill="1" applyAlignment="1"/>
    <xf numFmtId="0" fontId="6" fillId="7" borderId="0" xfId="0" applyFont="1" applyFill="1" applyAlignment="1">
      <alignment horizontal="right"/>
    </xf>
    <xf numFmtId="0" fontId="15" fillId="7" borderId="0" xfId="0" applyFont="1" applyFill="1" applyAlignment="1"/>
    <xf numFmtId="0" fontId="16" fillId="0" borderId="0" xfId="0" applyFont="1" applyAlignment="1">
      <alignment horizontal="center"/>
    </xf>
    <xf numFmtId="0" fontId="17" fillId="0" borderId="0" xfId="0" applyFont="1" applyAlignment="1"/>
    <xf numFmtId="0" fontId="0" fillId="0" borderId="5" xfId="0" applyFont="1" applyBorder="1" applyAlignment="1"/>
    <xf numFmtId="0" fontId="0" fillId="0" borderId="5" xfId="0" pivotButton="1" applyFont="1" applyBorder="1" applyAlignment="1"/>
    <xf numFmtId="0" fontId="0" fillId="0" borderId="5" xfId="0" applyFont="1" applyBorder="1" applyAlignment="1">
      <alignment horizontal="left"/>
    </xf>
    <xf numFmtId="0" fontId="0" fillId="0" borderId="6" xfId="0" applyFont="1" applyBorder="1" applyAlignment="1">
      <alignment horizontal="left"/>
    </xf>
    <xf numFmtId="0" fontId="0" fillId="0" borderId="7" xfId="0" applyFont="1" applyBorder="1" applyAlignment="1">
      <alignment horizontal="left"/>
    </xf>
    <xf numFmtId="0" fontId="0" fillId="0" borderId="8" xfId="0" applyFont="1" applyBorder="1" applyAlignment="1"/>
    <xf numFmtId="0" fontId="0" fillId="0" borderId="5" xfId="0" applyNumberFormat="1" applyFont="1" applyBorder="1" applyAlignment="1"/>
    <xf numFmtId="0" fontId="0" fillId="0" borderId="8" xfId="0" applyNumberFormat="1" applyFont="1" applyBorder="1" applyAlignment="1"/>
    <xf numFmtId="0" fontId="0" fillId="0" borderId="6" xfId="0" applyNumberFormat="1" applyFont="1" applyBorder="1" applyAlignment="1"/>
    <xf numFmtId="0" fontId="0" fillId="0" borderId="9" xfId="0" applyNumberFormat="1" applyFont="1" applyBorder="1" applyAlignment="1"/>
    <xf numFmtId="0" fontId="0" fillId="0" borderId="7" xfId="0" applyNumberFormat="1" applyFont="1" applyBorder="1" applyAlignment="1"/>
    <xf numFmtId="0" fontId="0" fillId="0" borderId="10" xfId="0" applyNumberFormat="1" applyFont="1" applyBorder="1" applyAlignment="1"/>
    <xf numFmtId="9" fontId="9" fillId="0" borderId="0" xfId="0" applyNumberFormat="1" applyFont="1"/>
    <xf numFmtId="0" fontId="0" fillId="0" borderId="11" xfId="0" pivotButton="1" applyFont="1" applyBorder="1" applyAlignment="1"/>
    <xf numFmtId="0" fontId="0" fillId="0" borderId="11" xfId="0" applyFont="1" applyBorder="1" applyAlignment="1"/>
    <xf numFmtId="0" fontId="0" fillId="0" borderId="12" xfId="0" applyFont="1" applyBorder="1" applyAlignment="1"/>
    <xf numFmtId="0" fontId="0" fillId="0" borderId="12" xfId="0" applyNumberFormat="1" applyFont="1" applyBorder="1" applyAlignment="1"/>
    <xf numFmtId="0" fontId="0" fillId="0" borderId="13" xfId="0" applyNumberFormat="1" applyFont="1" applyBorder="1" applyAlignment="1"/>
    <xf numFmtId="0" fontId="0" fillId="0" borderId="11" xfId="0" applyNumberFormat="1" applyFont="1" applyBorder="1" applyAlignment="1"/>
    <xf numFmtId="0" fontId="0" fillId="0" borderId="6" xfId="0" applyFont="1" applyBorder="1" applyAlignment="1">
      <alignment horizontal="left" indent="1"/>
    </xf>
    <xf numFmtId="0" fontId="8" fillId="5" borderId="1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12" fillId="3" borderId="2" xfId="0" applyFont="1" applyFill="1" applyBorder="1" applyAlignment="1">
      <alignment horizontal="center"/>
    </xf>
    <xf numFmtId="0" fontId="12" fillId="3" borderId="4" xfId="0" applyFont="1" applyFill="1" applyBorder="1" applyAlignment="1">
      <alignment horizontal="center"/>
    </xf>
    <xf numFmtId="0" fontId="9" fillId="0" borderId="14" xfId="0" applyFont="1" applyBorder="1" applyAlignment="1"/>
    <xf numFmtId="0" fontId="17" fillId="0" borderId="14" xfId="0" applyFont="1" applyBorder="1" applyAlignment="1"/>
    <xf numFmtId="0" fontId="6" fillId="7" borderId="14" xfId="0" applyFont="1" applyFill="1" applyBorder="1" applyAlignment="1"/>
    <xf numFmtId="0" fontId="6" fillId="7" borderId="14" xfId="0" applyFont="1" applyFill="1" applyBorder="1" applyAlignment="1">
      <alignment horizontal="right"/>
    </xf>
    <xf numFmtId="0" fontId="15" fillId="7" borderId="14" xfId="0" applyFont="1" applyFill="1" applyBorder="1" applyAlignment="1"/>
    <xf numFmtId="0" fontId="0" fillId="0" borderId="14" xfId="0" pivotButton="1" applyFont="1" applyBorder="1" applyAlignment="1"/>
    <xf numFmtId="0" fontId="0" fillId="0" borderId="14" xfId="0" applyFont="1" applyBorder="1" applyAlignment="1"/>
    <xf numFmtId="0" fontId="0" fillId="0" borderId="14" xfId="0" applyFont="1" applyFill="1" applyBorder="1" applyAlignment="1"/>
    <xf numFmtId="0" fontId="0" fillId="0" borderId="14" xfId="0" applyFont="1" applyBorder="1" applyAlignment="1">
      <alignment horizontal="left"/>
    </xf>
    <xf numFmtId="0" fontId="0" fillId="0" borderId="14" xfId="0" applyNumberFormat="1" applyFont="1" applyBorder="1" applyAlignment="1"/>
    <xf numFmtId="2" fontId="0" fillId="0" borderId="14" xfId="0" applyNumberFormat="1" applyFont="1" applyBorder="1" applyAlignment="1"/>
    <xf numFmtId="2" fontId="17" fillId="0" borderId="14" xfId="0" applyNumberFormat="1" applyFont="1" applyBorder="1" applyAlignment="1"/>
    <xf numFmtId="2" fontId="15" fillId="7" borderId="14" xfId="0" applyNumberFormat="1" applyFont="1" applyFill="1" applyBorder="1" applyAlignment="1"/>
    <xf numFmtId="0" fontId="10" fillId="2" borderId="1" xfId="0" applyFont="1" applyFill="1" applyBorder="1" applyAlignment="1">
      <alignment horizontal="center"/>
    </xf>
    <xf numFmtId="0" fontId="11" fillId="0" borderId="1" xfId="0" applyFont="1" applyBorder="1"/>
    <xf numFmtId="0" fontId="11" fillId="0" borderId="2" xfId="0" applyFont="1" applyBorder="1"/>
    <xf numFmtId="0" fontId="10" fillId="2" borderId="2" xfId="0" applyFont="1" applyFill="1" applyBorder="1" applyAlignment="1">
      <alignment horizontal="center"/>
    </xf>
  </cellXfs>
  <cellStyles count="1">
    <cellStyle name="Normal" xfId="0" builtinId="0"/>
  </cellStyles>
  <dxfs count="33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numFmt numFmtId="13" formatCode="0%"/>
    </dxf>
    <dxf>
      <font>
        <sz val="11"/>
        <color theme="1"/>
        <name val="Calibri"/>
        <scheme val="none"/>
      </font>
      <numFmt numFmtId="0" formatCode="General"/>
      <fill>
        <patternFill patternType="solid">
          <fgColor rgb="FFEEF7E3"/>
          <bgColor rgb="FFEEF7E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numFmt numFmtId="0" formatCode="General"/>
    </dxf>
    <dxf>
      <numFmt numFmtId="0" formatCode="General"/>
    </dxf>
    <dxf>
      <font>
        <color theme="1"/>
      </font>
      <numFmt numFmtId="2" formatCode="0.00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</dxfs>
  <tableStyles count="3">
    <tableStyle name="Dataset-style" pivot="0" count="3">
      <tableStyleElement type="headerRow" dxfId="32"/>
      <tableStyleElement type="firstRowStripe" dxfId="31"/>
      <tableStyleElement type="secondRowStripe" dxfId="30"/>
    </tableStyle>
    <tableStyle name="Dataset-style 2" pivot="0" count="3">
      <tableStyleElement type="headerRow" dxfId="29"/>
      <tableStyleElement type="firstRowStripe" dxfId="28"/>
      <tableStyleElement type="secondRowStripe" dxfId="27"/>
    </tableStyle>
    <tableStyle name="Dataset-style 3" pivot="0" count="3">
      <tableStyleElement type="headerRow" dxfId="26"/>
      <tableStyleElement type="firstRowStripe" dxfId="25"/>
      <tableStyleElement type="secondRowStripe" dxfId="2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Assignment 3 - Data Analysis (Recovered).xlsx]Product count!PivotTable5</c:name>
    <c:fmtId val="4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7.3746312684365104E-3"/>
              <c:y val="-2.409638554216867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1.6592920353982302E-2"/>
              <c:y val="-1.60642570281124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1.8436578171091445E-3"/>
              <c:y val="8.032128514056224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"/>
              <c:y val="2.409638554216867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1.2905604719763979E-2"/>
              <c:y val="-5.22088353413656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1.1061946902654867E-2"/>
              <c:y val="-4.01606425702812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8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0"/>
              <c:y val="3.212851405622475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9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5.5309734513274336E-3"/>
              <c:y val="-2.811244979919685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0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5.5309734513275012E-3"/>
              <c:y val="2.4096385542168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1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0"/>
              <c:y val="-4.01606425702811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"/>
              <c:y val="-2.409638554216882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3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5.4171180931744311E-3"/>
              <c:y val="-1.4725398833372522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4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1.8057060310581437E-3"/>
              <c:y val="-4.01606425702812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2502708559046585E-2"/>
              <c:y val="-1.606425702811241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6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1.2639942217407073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0832433279910805"/>
          <c:y val="0.25321095405243021"/>
          <c:w val="0.82021519986992775"/>
          <c:h val="0.664459728678493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'Product count'!$B$3</c:f>
              <c:strCache>
                <c:ptCount val="1"/>
                <c:pt idx="0">
                  <c:v>Sum of Price ($)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3"/>
              <c:layout>
                <c:manualLayout>
                  <c:x val="0"/>
                  <c:y val="2.40963855421686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1.2905604719763979E-2"/>
                  <c:y val="-5.22088353413656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7.3746312684365104E-3"/>
                  <c:y val="-2.40963855421686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1.8436578171091445E-3"/>
                  <c:y val="8.032128514056224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1.6592920353982302E-2"/>
                  <c:y val="-1.6064257028112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3.2502708559046585E-2"/>
                  <c:y val="-1.606425702811241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9"/>
              <c:layout>
                <c:manualLayout>
                  <c:x val="0"/>
                  <c:y val="-2.40963855421688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'Product count'!$A$4:$A$25</c:f>
              <c:strCache>
                <c:ptCount val="21"/>
                <c:pt idx="0">
                  <c:v>Backpack</c:v>
                </c:pt>
                <c:pt idx="1">
                  <c:v>Blender</c:v>
                </c:pt>
                <c:pt idx="2">
                  <c:v>Camera</c:v>
                </c:pt>
                <c:pt idx="3">
                  <c:v>Camping Tent</c:v>
                </c:pt>
                <c:pt idx="4">
                  <c:v>Coffee Maker</c:v>
                </c:pt>
                <c:pt idx="5">
                  <c:v>Dress</c:v>
                </c:pt>
                <c:pt idx="6">
                  <c:v>Fitness Tracker</c:v>
                </c:pt>
                <c:pt idx="7">
                  <c:v>Headphones</c:v>
                </c:pt>
                <c:pt idx="8">
                  <c:v>Hiking Boots</c:v>
                </c:pt>
                <c:pt idx="9">
                  <c:v>Jeans</c:v>
                </c:pt>
                <c:pt idx="10">
                  <c:v>Laptop</c:v>
                </c:pt>
                <c:pt idx="11">
                  <c:v>Laptop Bag</c:v>
                </c:pt>
                <c:pt idx="12">
                  <c:v>Microwave</c:v>
                </c:pt>
                <c:pt idx="13">
                  <c:v>Smartphone</c:v>
                </c:pt>
                <c:pt idx="14">
                  <c:v>Smartwatch</c:v>
                </c:pt>
                <c:pt idx="15">
                  <c:v>Sneakers</c:v>
                </c:pt>
                <c:pt idx="16">
                  <c:v>Sunglasses</c:v>
                </c:pt>
                <c:pt idx="17">
                  <c:v>Tablet</c:v>
                </c:pt>
                <c:pt idx="18">
                  <c:v>Toaster</c:v>
                </c:pt>
                <c:pt idx="19">
                  <c:v>T-shirt</c:v>
                </c:pt>
                <c:pt idx="20">
                  <c:v>Watch</c:v>
                </c:pt>
              </c:strCache>
            </c:strRef>
          </c:cat>
          <c:val>
            <c:numRef>
              <c:f>'Product count'!$B$4:$B$25</c:f>
              <c:numCache>
                <c:formatCode>General</c:formatCode>
                <c:ptCount val="21"/>
                <c:pt idx="0">
                  <c:v>70</c:v>
                </c:pt>
                <c:pt idx="1">
                  <c:v>490</c:v>
                </c:pt>
                <c:pt idx="2">
                  <c:v>700</c:v>
                </c:pt>
                <c:pt idx="3">
                  <c:v>200</c:v>
                </c:pt>
                <c:pt idx="4">
                  <c:v>250</c:v>
                </c:pt>
                <c:pt idx="5">
                  <c:v>60</c:v>
                </c:pt>
                <c:pt idx="6">
                  <c:v>280</c:v>
                </c:pt>
                <c:pt idx="7">
                  <c:v>750</c:v>
                </c:pt>
                <c:pt idx="8">
                  <c:v>130</c:v>
                </c:pt>
                <c:pt idx="9">
                  <c:v>50</c:v>
                </c:pt>
                <c:pt idx="10">
                  <c:v>3880</c:v>
                </c:pt>
                <c:pt idx="11">
                  <c:v>100</c:v>
                </c:pt>
                <c:pt idx="12">
                  <c:v>80</c:v>
                </c:pt>
                <c:pt idx="13">
                  <c:v>1700</c:v>
                </c:pt>
                <c:pt idx="14">
                  <c:v>310</c:v>
                </c:pt>
                <c:pt idx="15">
                  <c:v>170</c:v>
                </c:pt>
                <c:pt idx="16">
                  <c:v>280</c:v>
                </c:pt>
                <c:pt idx="17">
                  <c:v>500</c:v>
                </c:pt>
                <c:pt idx="18">
                  <c:v>40</c:v>
                </c:pt>
                <c:pt idx="19">
                  <c:v>30</c:v>
                </c:pt>
                <c:pt idx="20">
                  <c:v>100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7"/>
        <c:axId val="351510624"/>
        <c:axId val="390304968"/>
      </c:barChart>
      <c:lineChart>
        <c:grouping val="standard"/>
        <c:varyColors val="0"/>
        <c:ser>
          <c:idx val="1"/>
          <c:order val="1"/>
          <c:tx>
            <c:strRef>
              <c:f>'Product count'!$C$3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Lbl>
              <c:idx val="0"/>
              <c:layout>
                <c:manualLayout>
                  <c:x val="1.1061946902654867E-2"/>
                  <c:y val="-4.0160642570281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1.8057060310581437E-3"/>
                  <c:y val="-4.0160642570281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"/>
                  <c:y val="3.21285140562247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5.5309734513274336E-3"/>
                  <c:y val="-2.81124497991968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5.5309734513275012E-3"/>
                  <c:y val="2.409638554216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1.2639942217407073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-5.4171180931744311E-3"/>
                  <c:y val="-1.4725398833372522E-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8"/>
              <c:layout>
                <c:manualLayout>
                  <c:x val="0"/>
                  <c:y val="-4.01606425702811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'Product count'!$A$4:$A$25</c:f>
              <c:strCache>
                <c:ptCount val="21"/>
                <c:pt idx="0">
                  <c:v>Backpack</c:v>
                </c:pt>
                <c:pt idx="1">
                  <c:v>Blender</c:v>
                </c:pt>
                <c:pt idx="2">
                  <c:v>Camera</c:v>
                </c:pt>
                <c:pt idx="3">
                  <c:v>Camping Tent</c:v>
                </c:pt>
                <c:pt idx="4">
                  <c:v>Coffee Maker</c:v>
                </c:pt>
                <c:pt idx="5">
                  <c:v>Dress</c:v>
                </c:pt>
                <c:pt idx="6">
                  <c:v>Fitness Tracker</c:v>
                </c:pt>
                <c:pt idx="7">
                  <c:v>Headphones</c:v>
                </c:pt>
                <c:pt idx="8">
                  <c:v>Hiking Boots</c:v>
                </c:pt>
                <c:pt idx="9">
                  <c:v>Jeans</c:v>
                </c:pt>
                <c:pt idx="10">
                  <c:v>Laptop</c:v>
                </c:pt>
                <c:pt idx="11">
                  <c:v>Laptop Bag</c:v>
                </c:pt>
                <c:pt idx="12">
                  <c:v>Microwave</c:v>
                </c:pt>
                <c:pt idx="13">
                  <c:v>Smartphone</c:v>
                </c:pt>
                <c:pt idx="14">
                  <c:v>Smartwatch</c:v>
                </c:pt>
                <c:pt idx="15">
                  <c:v>Sneakers</c:v>
                </c:pt>
                <c:pt idx="16">
                  <c:v>Sunglasses</c:v>
                </c:pt>
                <c:pt idx="17">
                  <c:v>Tablet</c:v>
                </c:pt>
                <c:pt idx="18">
                  <c:v>Toaster</c:v>
                </c:pt>
                <c:pt idx="19">
                  <c:v>T-shirt</c:v>
                </c:pt>
                <c:pt idx="20">
                  <c:v>Watch</c:v>
                </c:pt>
              </c:strCache>
            </c:strRef>
          </c:cat>
          <c:val>
            <c:numRef>
              <c:f>'Product count'!$C$4:$C$25</c:f>
              <c:numCache>
                <c:formatCode>General</c:formatCode>
                <c:ptCount val="21"/>
                <c:pt idx="0">
                  <c:v>20</c:v>
                </c:pt>
                <c:pt idx="1">
                  <c:v>75</c:v>
                </c:pt>
                <c:pt idx="2">
                  <c:v>50</c:v>
                </c:pt>
                <c:pt idx="3">
                  <c:v>10</c:v>
                </c:pt>
                <c:pt idx="4">
                  <c:v>75</c:v>
                </c:pt>
                <c:pt idx="5">
                  <c:v>30</c:v>
                </c:pt>
                <c:pt idx="6">
                  <c:v>35</c:v>
                </c:pt>
                <c:pt idx="7">
                  <c:v>85</c:v>
                </c:pt>
                <c:pt idx="8">
                  <c:v>10</c:v>
                </c:pt>
                <c:pt idx="9">
                  <c:v>50</c:v>
                </c:pt>
                <c:pt idx="10">
                  <c:v>90</c:v>
                </c:pt>
                <c:pt idx="11">
                  <c:v>70</c:v>
                </c:pt>
                <c:pt idx="12">
                  <c:v>20</c:v>
                </c:pt>
                <c:pt idx="13">
                  <c:v>70</c:v>
                </c:pt>
                <c:pt idx="14">
                  <c:v>30</c:v>
                </c:pt>
                <c:pt idx="15">
                  <c:v>55</c:v>
                </c:pt>
                <c:pt idx="16">
                  <c:v>40</c:v>
                </c:pt>
                <c:pt idx="17">
                  <c:v>50</c:v>
                </c:pt>
                <c:pt idx="18">
                  <c:v>10</c:v>
                </c:pt>
                <c:pt idx="19">
                  <c:v>5</c:v>
                </c:pt>
                <c:pt idx="20">
                  <c:v>20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51514936"/>
        <c:axId val="351514544"/>
      </c:lineChart>
      <c:valAx>
        <c:axId val="39030496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Price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510624"/>
        <c:crosses val="max"/>
        <c:crossBetween val="between"/>
      </c:valAx>
      <c:catAx>
        <c:axId val="351510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 Name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304968"/>
        <c:auto val="1"/>
        <c:lblAlgn val="ctr"/>
        <c:lblOffset val="100"/>
        <c:noMultiLvlLbl val="0"/>
      </c:catAx>
      <c:valAx>
        <c:axId val="3515145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Quantity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514936"/>
        <c:crossBetween val="between"/>
      </c:valAx>
      <c:catAx>
        <c:axId val="3515149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5151454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Assignment 3 - Data Analysis (Recovered).xlsx]Category vs price!PivotTable1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Category vs price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1.1654841444664857E-3"/>
          <c:y val="1.32015604213856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layout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0.1106209965639921"/>
              <c:y val="2.1566500615994428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2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1.3064740555034949E-2"/>
              <c:y val="-1.4438691738875107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3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1.0571099400828374E-2"/>
              <c:y val="-1.9638598257409622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4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4.7413866543343591E-2"/>
              <c:y val="3.6250734069200256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6.9656034108564871E-2"/>
              <c:y val="-3.4192943347834945E-2"/>
            </c:manualLayout>
          </c:layout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'Category vs price'!$B$3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dLbl>
              <c:idx val="0"/>
              <c:layout>
                <c:manualLayout>
                  <c:x val="0.1106209965639921"/>
                  <c:y val="2.156650061599442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6.9656034108564871E-2"/>
                  <c:y val="-3.419294334783494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4.7413866543343591E-2"/>
                  <c:y val="3.625073406920025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1.0571099400828374E-2"/>
                  <c:y val="-1.963859825740962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1.3064740555034949E-2"/>
                  <c:y val="-1.443869173887510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f>'Category vs price'!$A$4:$A$9</c:f>
              <c:strCache>
                <c:ptCount val="5"/>
                <c:pt idx="0">
                  <c:v>Accessories</c:v>
                </c:pt>
                <c:pt idx="1">
                  <c:v>Electronics</c:v>
                </c:pt>
                <c:pt idx="2">
                  <c:v>Fashion</c:v>
                </c:pt>
                <c:pt idx="3">
                  <c:v>Kitchen</c:v>
                </c:pt>
                <c:pt idx="4">
                  <c:v>Outdoor</c:v>
                </c:pt>
              </c:strCache>
            </c:strRef>
          </c:cat>
          <c:val>
            <c:numRef>
              <c:f>'Category vs price'!$B$4:$B$9</c:f>
              <c:numCache>
                <c:formatCode>General</c:formatCode>
                <c:ptCount val="5"/>
                <c:pt idx="0">
                  <c:v>200</c:v>
                </c:pt>
                <c:pt idx="1">
                  <c:v>8120</c:v>
                </c:pt>
                <c:pt idx="2">
                  <c:v>590</c:v>
                </c:pt>
                <c:pt idx="3">
                  <c:v>860</c:v>
                </c:pt>
                <c:pt idx="4">
                  <c:v>400</c:v>
                </c:pt>
              </c:numCache>
            </c:numRef>
          </c:val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081340489316734"/>
          <c:y val="4.3903663827735799E-2"/>
          <c:w val="0.16373064456587438"/>
          <c:h val="0.303453720682175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Product Price &amp; Quantity</a:t>
            </a:r>
          </a:p>
        </c:rich>
      </c:tx>
      <c:layout>
        <c:manualLayout>
          <c:xMode val="edge"/>
          <c:yMode val="edge"/>
          <c:x val="0.2911411533117184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Dataset!$D$1</c:f>
              <c:strCache>
                <c:ptCount val="1"/>
                <c:pt idx="0">
                  <c:v>Price ($)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strRef>
              <c:f>Dataset!$B$2:$B$35</c:f>
              <c:strCache>
                <c:ptCount val="34"/>
                <c:pt idx="0">
                  <c:v>Laptop Bag</c:v>
                </c:pt>
                <c:pt idx="1">
                  <c:v>Laptop Bag</c:v>
                </c:pt>
                <c:pt idx="2">
                  <c:v>Watch</c:v>
                </c:pt>
                <c:pt idx="3">
                  <c:v>Fitness Tracker</c:v>
                </c:pt>
                <c:pt idx="4">
                  <c:v>Smartwatch</c:v>
                </c:pt>
                <c:pt idx="5">
                  <c:v>Fitness Tracker</c:v>
                </c:pt>
                <c:pt idx="6">
                  <c:v>Smartwatch</c:v>
                </c:pt>
                <c:pt idx="7">
                  <c:v>Headphones</c:v>
                </c:pt>
                <c:pt idx="8">
                  <c:v>Headphones</c:v>
                </c:pt>
                <c:pt idx="9">
                  <c:v>Headphones</c:v>
                </c:pt>
                <c:pt idx="10">
                  <c:v>Tablet</c:v>
                </c:pt>
                <c:pt idx="11">
                  <c:v>Camera</c:v>
                </c:pt>
                <c:pt idx="12">
                  <c:v>Smartphone</c:v>
                </c:pt>
                <c:pt idx="13">
                  <c:v>Smartphone</c:v>
                </c:pt>
                <c:pt idx="14">
                  <c:v>Laptop</c:v>
                </c:pt>
                <c:pt idx="15">
                  <c:v>Laptop</c:v>
                </c:pt>
                <c:pt idx="16">
                  <c:v>Laptop</c:v>
                </c:pt>
                <c:pt idx="17">
                  <c:v>Laptop</c:v>
                </c:pt>
                <c:pt idx="18">
                  <c:v>T-shirt</c:v>
                </c:pt>
                <c:pt idx="19">
                  <c:v>Jeans</c:v>
                </c:pt>
                <c:pt idx="20">
                  <c:v>Dress</c:v>
                </c:pt>
                <c:pt idx="21">
                  <c:v>Sneakers</c:v>
                </c:pt>
                <c:pt idx="22">
                  <c:v>Sneakers</c:v>
                </c:pt>
                <c:pt idx="23">
                  <c:v>Sunglasses</c:v>
                </c:pt>
                <c:pt idx="24">
                  <c:v>Sunglasses</c:v>
                </c:pt>
                <c:pt idx="25">
                  <c:v>Toaster</c:v>
                </c:pt>
                <c:pt idx="26">
                  <c:v>Microwave</c:v>
                </c:pt>
                <c:pt idx="27">
                  <c:v>Blender</c:v>
                </c:pt>
                <c:pt idx="28">
                  <c:v>Coffee Maker</c:v>
                </c:pt>
                <c:pt idx="29">
                  <c:v>Coffee Maker</c:v>
                </c:pt>
                <c:pt idx="30">
                  <c:v>Blender</c:v>
                </c:pt>
                <c:pt idx="31">
                  <c:v>Backpack</c:v>
                </c:pt>
                <c:pt idx="32">
                  <c:v>Hiking Boots</c:v>
                </c:pt>
                <c:pt idx="33">
                  <c:v>Camping Tent</c:v>
                </c:pt>
              </c:strCache>
            </c:strRef>
          </c:xVal>
          <c:yVal>
            <c:numRef>
              <c:f>Dataset!$D$2:$D$35</c:f>
              <c:numCache>
                <c:formatCode>General</c:formatCode>
                <c:ptCount val="34"/>
                <c:pt idx="0">
                  <c:v>50</c:v>
                </c:pt>
                <c:pt idx="1">
                  <c:v>50</c:v>
                </c:pt>
                <c:pt idx="2">
                  <c:v>100</c:v>
                </c:pt>
                <c:pt idx="3">
                  <c:v>130</c:v>
                </c:pt>
                <c:pt idx="4">
                  <c:v>150</c:v>
                </c:pt>
                <c:pt idx="5">
                  <c:v>150</c:v>
                </c:pt>
                <c:pt idx="6">
                  <c:v>160</c:v>
                </c:pt>
                <c:pt idx="7">
                  <c:v>200</c:v>
                </c:pt>
                <c:pt idx="8">
                  <c:v>250</c:v>
                </c:pt>
                <c:pt idx="9">
                  <c:v>300</c:v>
                </c:pt>
                <c:pt idx="10">
                  <c:v>500</c:v>
                </c:pt>
                <c:pt idx="11">
                  <c:v>700</c:v>
                </c:pt>
                <c:pt idx="12">
                  <c:v>800</c:v>
                </c:pt>
                <c:pt idx="13">
                  <c:v>900</c:v>
                </c:pt>
                <c:pt idx="14">
                  <c:v>950</c:v>
                </c:pt>
                <c:pt idx="15">
                  <c:v>950</c:v>
                </c:pt>
                <c:pt idx="16">
                  <c:v>980</c:v>
                </c:pt>
                <c:pt idx="17">
                  <c:v>1000</c:v>
                </c:pt>
                <c:pt idx="18">
                  <c:v>30</c:v>
                </c:pt>
                <c:pt idx="19">
                  <c:v>50</c:v>
                </c:pt>
                <c:pt idx="20">
                  <c:v>60</c:v>
                </c:pt>
                <c:pt idx="21">
                  <c:v>80</c:v>
                </c:pt>
                <c:pt idx="22">
                  <c:v>90</c:v>
                </c:pt>
                <c:pt idx="23">
                  <c:v>130</c:v>
                </c:pt>
                <c:pt idx="24">
                  <c:v>150</c:v>
                </c:pt>
                <c:pt idx="25">
                  <c:v>40</c:v>
                </c:pt>
                <c:pt idx="26">
                  <c:v>80</c:v>
                </c:pt>
                <c:pt idx="27">
                  <c:v>90</c:v>
                </c:pt>
                <c:pt idx="28">
                  <c:v>120</c:v>
                </c:pt>
                <c:pt idx="29">
                  <c:v>130</c:v>
                </c:pt>
                <c:pt idx="30">
                  <c:v>400</c:v>
                </c:pt>
                <c:pt idx="31">
                  <c:v>70</c:v>
                </c:pt>
                <c:pt idx="32">
                  <c:v>130</c:v>
                </c:pt>
                <c:pt idx="33">
                  <c:v>200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Dataset!$E$1</c:f>
              <c:strCache>
                <c:ptCount val="1"/>
                <c:pt idx="0">
                  <c:v>Quantity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strRef>
              <c:f>Dataset!$B$2:$B$35</c:f>
              <c:strCache>
                <c:ptCount val="34"/>
                <c:pt idx="0">
                  <c:v>Laptop Bag</c:v>
                </c:pt>
                <c:pt idx="1">
                  <c:v>Laptop Bag</c:v>
                </c:pt>
                <c:pt idx="2">
                  <c:v>Watch</c:v>
                </c:pt>
                <c:pt idx="3">
                  <c:v>Fitness Tracker</c:v>
                </c:pt>
                <c:pt idx="4">
                  <c:v>Smartwatch</c:v>
                </c:pt>
                <c:pt idx="5">
                  <c:v>Fitness Tracker</c:v>
                </c:pt>
                <c:pt idx="6">
                  <c:v>Smartwatch</c:v>
                </c:pt>
                <c:pt idx="7">
                  <c:v>Headphones</c:v>
                </c:pt>
                <c:pt idx="8">
                  <c:v>Headphones</c:v>
                </c:pt>
                <c:pt idx="9">
                  <c:v>Headphones</c:v>
                </c:pt>
                <c:pt idx="10">
                  <c:v>Tablet</c:v>
                </c:pt>
                <c:pt idx="11">
                  <c:v>Camera</c:v>
                </c:pt>
                <c:pt idx="12">
                  <c:v>Smartphone</c:v>
                </c:pt>
                <c:pt idx="13">
                  <c:v>Smartphone</c:v>
                </c:pt>
                <c:pt idx="14">
                  <c:v>Laptop</c:v>
                </c:pt>
                <c:pt idx="15">
                  <c:v>Laptop</c:v>
                </c:pt>
                <c:pt idx="16">
                  <c:v>Laptop</c:v>
                </c:pt>
                <c:pt idx="17">
                  <c:v>Laptop</c:v>
                </c:pt>
                <c:pt idx="18">
                  <c:v>T-shirt</c:v>
                </c:pt>
                <c:pt idx="19">
                  <c:v>Jeans</c:v>
                </c:pt>
                <c:pt idx="20">
                  <c:v>Dress</c:v>
                </c:pt>
                <c:pt idx="21">
                  <c:v>Sneakers</c:v>
                </c:pt>
                <c:pt idx="22">
                  <c:v>Sneakers</c:v>
                </c:pt>
                <c:pt idx="23">
                  <c:v>Sunglasses</c:v>
                </c:pt>
                <c:pt idx="24">
                  <c:v>Sunglasses</c:v>
                </c:pt>
                <c:pt idx="25">
                  <c:v>Toaster</c:v>
                </c:pt>
                <c:pt idx="26">
                  <c:v>Microwave</c:v>
                </c:pt>
                <c:pt idx="27">
                  <c:v>Blender</c:v>
                </c:pt>
                <c:pt idx="28">
                  <c:v>Coffee Maker</c:v>
                </c:pt>
                <c:pt idx="29">
                  <c:v>Coffee Maker</c:v>
                </c:pt>
                <c:pt idx="30">
                  <c:v>Blender</c:v>
                </c:pt>
                <c:pt idx="31">
                  <c:v>Backpack</c:v>
                </c:pt>
                <c:pt idx="32">
                  <c:v>Hiking Boots</c:v>
                </c:pt>
                <c:pt idx="33">
                  <c:v>Camping Tent</c:v>
                </c:pt>
              </c:strCache>
            </c:strRef>
          </c:xVal>
          <c:yVal>
            <c:numRef>
              <c:f>Dataset!$E$2:$E$35</c:f>
              <c:numCache>
                <c:formatCode>General</c:formatCode>
                <c:ptCount val="34"/>
                <c:pt idx="0">
                  <c:v>35</c:v>
                </c:pt>
                <c:pt idx="1">
                  <c:v>35</c:v>
                </c:pt>
                <c:pt idx="2">
                  <c:v>20</c:v>
                </c:pt>
                <c:pt idx="3">
                  <c:v>5</c:v>
                </c:pt>
                <c:pt idx="4">
                  <c:v>15</c:v>
                </c:pt>
                <c:pt idx="5">
                  <c:v>30</c:v>
                </c:pt>
                <c:pt idx="6">
                  <c:v>15</c:v>
                </c:pt>
                <c:pt idx="7">
                  <c:v>45</c:v>
                </c:pt>
                <c:pt idx="8">
                  <c:v>20</c:v>
                </c:pt>
                <c:pt idx="9">
                  <c:v>20</c:v>
                </c:pt>
                <c:pt idx="10">
                  <c:v>50</c:v>
                </c:pt>
                <c:pt idx="11">
                  <c:v>50</c:v>
                </c:pt>
                <c:pt idx="12">
                  <c:v>45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10</c:v>
                </c:pt>
                <c:pt idx="17">
                  <c:v>30</c:v>
                </c:pt>
                <c:pt idx="18">
                  <c:v>5</c:v>
                </c:pt>
                <c:pt idx="19">
                  <c:v>50</c:v>
                </c:pt>
                <c:pt idx="20">
                  <c:v>30</c:v>
                </c:pt>
                <c:pt idx="21">
                  <c:v>15</c:v>
                </c:pt>
                <c:pt idx="22">
                  <c:v>40</c:v>
                </c:pt>
                <c:pt idx="23">
                  <c:v>25</c:v>
                </c:pt>
                <c:pt idx="24">
                  <c:v>15</c:v>
                </c:pt>
                <c:pt idx="25">
                  <c:v>10</c:v>
                </c:pt>
                <c:pt idx="26">
                  <c:v>20</c:v>
                </c:pt>
                <c:pt idx="27">
                  <c:v>35</c:v>
                </c:pt>
                <c:pt idx="28">
                  <c:v>35</c:v>
                </c:pt>
                <c:pt idx="29">
                  <c:v>40</c:v>
                </c:pt>
                <c:pt idx="30">
                  <c:v>40</c:v>
                </c:pt>
                <c:pt idx="31">
                  <c:v>20</c:v>
                </c:pt>
                <c:pt idx="32">
                  <c:v>10</c:v>
                </c:pt>
                <c:pt idx="33">
                  <c:v>10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221728"/>
        <c:axId val="350179664"/>
      </c:scatterChart>
      <c:valAx>
        <c:axId val="350221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Quantity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179664"/>
        <c:crosses val="autoZero"/>
        <c:crossBetween val="midCat"/>
      </c:valAx>
      <c:valAx>
        <c:axId val="35017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221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38100</xdr:rowOff>
    </xdr:from>
    <xdr:to>
      <xdr:col>19</xdr:col>
      <xdr:colOff>167640</xdr:colOff>
      <xdr:row>26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2</xdr:row>
      <xdr:rowOff>15240</xdr:rowOff>
    </xdr:from>
    <xdr:to>
      <xdr:col>11</xdr:col>
      <xdr:colOff>60960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</xdr:colOff>
      <xdr:row>6</xdr:row>
      <xdr:rowOff>160020</xdr:rowOff>
    </xdr:from>
    <xdr:to>
      <xdr:col>16</xdr:col>
      <xdr:colOff>266700</xdr:colOff>
      <xdr:row>23</xdr:row>
      <xdr:rowOff>53340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olo King" refreshedDate="45599.780609490743" createdVersion="5" refreshedVersion="5" minRefreshableVersion="3" recordCount="34">
  <cacheSource type="worksheet">
    <worksheetSource name="Table_1"/>
  </cacheSource>
  <cacheFields count="6">
    <cacheField name="Product ID" numFmtId="0">
      <sharedItems count="31">
        <s v="21-AUG-CA"/>
        <s v="09-JUL-FR"/>
        <s v="24-MAY-CA"/>
        <s v="18-FEB-CA"/>
        <s v="19-JUL-BR"/>
        <s v="20-AUG-CN"/>
        <s v="07-JUN-UK"/>
        <s v="16-APR-ES"/>
        <s v="05-SEP-UK"/>
        <s v="14-MAY-RU"/>
        <s v="29-SEP-CA"/>
        <s v="11-APR-US"/>
        <s v="17-JUN-IN"/>
        <s v="27-JAN-IT"/>
        <s v="28-JAN-US"/>
        <s v="19-JUL-UK"/>
        <s v="02-DEC-CA"/>
        <s v="07-MAR-CA"/>
        <s v="15-FEB-US"/>
        <s v="25-NOV-AU"/>
        <s v="03-JUN-CA"/>
        <s v="01-MAR-UK"/>
        <s v="13-APR-CA"/>
        <s v="09-JAN-CA"/>
        <s v="23-AUG-UK"/>
        <s v="08-DEC-DE"/>
        <s v="03-MAR-US"/>
        <s v="11-JUL-CA"/>
        <s v="22-MAY-US"/>
        <s v="14-OCT-UK"/>
        <s v="14-AUG-US"/>
      </sharedItems>
    </cacheField>
    <cacheField name="Product Name" numFmtId="0">
      <sharedItems count="21">
        <s v="Laptop Bag"/>
        <s v="Watch"/>
        <s v="Fitness Tracker"/>
        <s v="Smartwatch"/>
        <s v="Headphones"/>
        <s v="Tablet"/>
        <s v="Camera"/>
        <s v="Smartphone"/>
        <s v="Laptop"/>
        <s v="T-shirt"/>
        <s v="Jeans"/>
        <s v="Dress"/>
        <s v="Sneakers"/>
        <s v="Sunglasses"/>
        <s v="Toaster"/>
        <s v="Microwave"/>
        <s v="Blender"/>
        <s v="Coffee Maker"/>
        <s v="Backpack"/>
        <s v="Hiking Boots"/>
        <s v="Camping Tent"/>
      </sharedItems>
    </cacheField>
    <cacheField name="Brand Name" numFmtId="0">
      <sharedItems count="30">
        <s v="Samsonite"/>
        <s v="Casio"/>
        <s v="Garmin"/>
        <s v="Fitbit"/>
        <s v="Xiaomi"/>
        <s v="Huawei"/>
        <s v="Sony"/>
        <s v="Bose"/>
        <s v="Apple"/>
        <s v="Nikon"/>
        <s v="Google"/>
        <s v="Samsung"/>
        <s v="HP"/>
        <s v="Asus"/>
        <s v="Dell"/>
        <s v="Adidas"/>
        <s v="Levi's"/>
        <s v="Zara"/>
        <s v="Nike"/>
        <s v="Ray-Ban"/>
        <s v="Oakley"/>
        <s v="Hamilton"/>
        <s v="Panasonic"/>
        <s v="Ninja"/>
        <s v="Nespresso"/>
        <s v="Keurig"/>
        <s v="Vitamix"/>
        <s v="North Face"/>
        <s v="Timberland"/>
        <s v="Coleman"/>
      </sharedItems>
    </cacheField>
    <cacheField name="Price ($)" numFmtId="0">
      <sharedItems containsSemiMixedTypes="0" containsString="0" containsNumber="1" containsInteger="1" minValue="30" maxValue="1000"/>
    </cacheField>
    <cacheField name="Quantity" numFmtId="0">
      <sharedItems containsSemiMixedTypes="0" containsString="0" containsNumber="1" containsInteger="1" minValue="5" maxValue="50" count="10">
        <n v="35"/>
        <n v="20"/>
        <n v="5"/>
        <n v="15"/>
        <n v="30"/>
        <n v="45"/>
        <n v="50"/>
        <n v="25"/>
        <n v="10"/>
        <n v="40"/>
      </sharedItems>
    </cacheField>
    <cacheField name="Category" numFmtId="0">
      <sharedItems count="5">
        <s v="Accessories"/>
        <s v="Electronics"/>
        <s v="Fashion"/>
        <s v="Kitchen"/>
        <s v="Outdoo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4">
  <r>
    <x v="0"/>
    <x v="0"/>
    <x v="0"/>
    <n v="50"/>
    <x v="0"/>
    <x v="0"/>
  </r>
  <r>
    <x v="0"/>
    <x v="0"/>
    <x v="0"/>
    <n v="50"/>
    <x v="0"/>
    <x v="0"/>
  </r>
  <r>
    <x v="1"/>
    <x v="1"/>
    <x v="1"/>
    <n v="100"/>
    <x v="1"/>
    <x v="0"/>
  </r>
  <r>
    <x v="2"/>
    <x v="2"/>
    <x v="2"/>
    <n v="130"/>
    <x v="2"/>
    <x v="1"/>
  </r>
  <r>
    <x v="3"/>
    <x v="3"/>
    <x v="3"/>
    <n v="150"/>
    <x v="3"/>
    <x v="1"/>
  </r>
  <r>
    <x v="4"/>
    <x v="2"/>
    <x v="4"/>
    <n v="150"/>
    <x v="4"/>
    <x v="1"/>
  </r>
  <r>
    <x v="5"/>
    <x v="3"/>
    <x v="5"/>
    <n v="160"/>
    <x v="3"/>
    <x v="1"/>
  </r>
  <r>
    <x v="6"/>
    <x v="4"/>
    <x v="6"/>
    <n v="200"/>
    <x v="5"/>
    <x v="1"/>
  </r>
  <r>
    <x v="7"/>
    <x v="4"/>
    <x v="7"/>
    <n v="250"/>
    <x v="1"/>
    <x v="1"/>
  </r>
  <r>
    <x v="7"/>
    <x v="4"/>
    <x v="7"/>
    <n v="300"/>
    <x v="1"/>
    <x v="1"/>
  </r>
  <r>
    <x v="8"/>
    <x v="5"/>
    <x v="8"/>
    <n v="500"/>
    <x v="6"/>
    <x v="1"/>
  </r>
  <r>
    <x v="9"/>
    <x v="6"/>
    <x v="9"/>
    <n v="700"/>
    <x v="6"/>
    <x v="1"/>
  </r>
  <r>
    <x v="10"/>
    <x v="7"/>
    <x v="10"/>
    <n v="800"/>
    <x v="5"/>
    <x v="1"/>
  </r>
  <r>
    <x v="11"/>
    <x v="7"/>
    <x v="11"/>
    <n v="900"/>
    <x v="7"/>
    <x v="1"/>
  </r>
  <r>
    <x v="12"/>
    <x v="8"/>
    <x v="12"/>
    <n v="950"/>
    <x v="7"/>
    <x v="1"/>
  </r>
  <r>
    <x v="12"/>
    <x v="8"/>
    <x v="12"/>
    <n v="950"/>
    <x v="7"/>
    <x v="1"/>
  </r>
  <r>
    <x v="13"/>
    <x v="8"/>
    <x v="13"/>
    <n v="980"/>
    <x v="8"/>
    <x v="1"/>
  </r>
  <r>
    <x v="14"/>
    <x v="8"/>
    <x v="14"/>
    <n v="1000"/>
    <x v="4"/>
    <x v="1"/>
  </r>
  <r>
    <x v="15"/>
    <x v="9"/>
    <x v="15"/>
    <n v="30"/>
    <x v="2"/>
    <x v="2"/>
  </r>
  <r>
    <x v="16"/>
    <x v="10"/>
    <x v="16"/>
    <n v="50"/>
    <x v="6"/>
    <x v="2"/>
  </r>
  <r>
    <x v="17"/>
    <x v="11"/>
    <x v="17"/>
    <n v="60"/>
    <x v="4"/>
    <x v="2"/>
  </r>
  <r>
    <x v="18"/>
    <x v="12"/>
    <x v="18"/>
    <n v="80"/>
    <x v="3"/>
    <x v="2"/>
  </r>
  <r>
    <x v="19"/>
    <x v="12"/>
    <x v="15"/>
    <n v="90"/>
    <x v="9"/>
    <x v="2"/>
  </r>
  <r>
    <x v="20"/>
    <x v="13"/>
    <x v="19"/>
    <n v="130"/>
    <x v="7"/>
    <x v="2"/>
  </r>
  <r>
    <x v="21"/>
    <x v="13"/>
    <x v="20"/>
    <n v="150"/>
    <x v="3"/>
    <x v="2"/>
  </r>
  <r>
    <x v="22"/>
    <x v="14"/>
    <x v="21"/>
    <n v="40"/>
    <x v="8"/>
    <x v="3"/>
  </r>
  <r>
    <x v="23"/>
    <x v="15"/>
    <x v="22"/>
    <n v="80"/>
    <x v="1"/>
    <x v="3"/>
  </r>
  <r>
    <x v="24"/>
    <x v="16"/>
    <x v="23"/>
    <n v="90"/>
    <x v="0"/>
    <x v="3"/>
  </r>
  <r>
    <x v="25"/>
    <x v="17"/>
    <x v="24"/>
    <n v="120"/>
    <x v="0"/>
    <x v="3"/>
  </r>
  <r>
    <x v="26"/>
    <x v="17"/>
    <x v="25"/>
    <n v="130"/>
    <x v="9"/>
    <x v="3"/>
  </r>
  <r>
    <x v="27"/>
    <x v="16"/>
    <x v="26"/>
    <n v="400"/>
    <x v="9"/>
    <x v="3"/>
  </r>
  <r>
    <x v="28"/>
    <x v="18"/>
    <x v="27"/>
    <n v="70"/>
    <x v="1"/>
    <x v="4"/>
  </r>
  <r>
    <x v="29"/>
    <x v="19"/>
    <x v="28"/>
    <n v="130"/>
    <x v="8"/>
    <x v="4"/>
  </r>
  <r>
    <x v="30"/>
    <x v="20"/>
    <x v="29"/>
    <n v="200"/>
    <x v="8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10" firstHeaderRow="0" firstDataRow="1" firstDataCol="1" rowPageCount="1" colPageCount="1"/>
  <pivotFields count="6">
    <pivotField showAll="0">
      <items count="32">
        <item x="21"/>
        <item x="16"/>
        <item x="20"/>
        <item x="26"/>
        <item x="8"/>
        <item x="6"/>
        <item x="17"/>
        <item x="25"/>
        <item x="23"/>
        <item x="1"/>
        <item x="11"/>
        <item x="27"/>
        <item x="22"/>
        <item x="30"/>
        <item x="9"/>
        <item x="29"/>
        <item x="18"/>
        <item x="7"/>
        <item x="12"/>
        <item x="3"/>
        <item x="4"/>
        <item x="15"/>
        <item x="5"/>
        <item x="0"/>
        <item x="28"/>
        <item x="24"/>
        <item x="2"/>
        <item x="19"/>
        <item x="13"/>
        <item x="14"/>
        <item x="10"/>
        <item t="default"/>
      </items>
    </pivotField>
    <pivotField axis="axisPage" multipleItemSelectionAllowed="1" showAll="0">
      <items count="22">
        <item h="1" x="18"/>
        <item h="1" x="16"/>
        <item h="1" x="6"/>
        <item h="1" x="20"/>
        <item h="1" x="17"/>
        <item h="1" x="11"/>
        <item h="1" x="2"/>
        <item h="1" x="4"/>
        <item h="1" x="19"/>
        <item h="1" x="10"/>
        <item x="8"/>
        <item h="1" x="0"/>
        <item h="1" x="15"/>
        <item h="1" x="7"/>
        <item h="1" x="3"/>
        <item h="1" x="12"/>
        <item h="1" x="13"/>
        <item h="1" x="5"/>
        <item h="1" x="14"/>
        <item h="1" x="9"/>
        <item h="1" x="1"/>
        <item t="default"/>
      </items>
    </pivotField>
    <pivotField axis="axisRow" showAll="0">
      <items count="31">
        <item x="15"/>
        <item x="8"/>
        <item x="13"/>
        <item x="7"/>
        <item x="1"/>
        <item x="29"/>
        <item x="14"/>
        <item x="3"/>
        <item x="2"/>
        <item x="10"/>
        <item x="21"/>
        <item x="12"/>
        <item x="5"/>
        <item x="25"/>
        <item x="16"/>
        <item x="24"/>
        <item x="18"/>
        <item x="9"/>
        <item x="23"/>
        <item x="27"/>
        <item x="20"/>
        <item x="22"/>
        <item x="19"/>
        <item x="0"/>
        <item x="11"/>
        <item x="6"/>
        <item x="28"/>
        <item x="26"/>
        <item x="4"/>
        <item x="17"/>
        <item t="default"/>
      </items>
    </pivotField>
    <pivotField dataField="1"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</pivotFields>
  <rowFields count="2">
    <field x="2"/>
    <field x="5"/>
  </rowFields>
  <rowItems count="7">
    <i>
      <x v="2"/>
    </i>
    <i r="1">
      <x v="1"/>
    </i>
    <i>
      <x v="6"/>
    </i>
    <i r="1">
      <x v="1"/>
    </i>
    <i>
      <x v="11"/>
    </i>
    <i r="1"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Price ($)" fld="3" baseField="0" baseItem="0"/>
    <dataField name="Sum of Quantity" fld="4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13" firstHeaderRow="0" firstDataRow="1" firstDataCol="1" rowPageCount="1" colPageCount="1"/>
  <pivotFields count="6">
    <pivotField showAll="0"/>
    <pivotField axis="axisRow" showAll="0">
      <items count="22">
        <item x="18"/>
        <item x="16"/>
        <item x="6"/>
        <item x="20"/>
        <item x="17"/>
        <item x="11"/>
        <item x="2"/>
        <item x="4"/>
        <item x="19"/>
        <item x="10"/>
        <item x="8"/>
        <item x="0"/>
        <item x="15"/>
        <item x="7"/>
        <item x="3"/>
        <item x="12"/>
        <item x="13"/>
        <item x="5"/>
        <item x="14"/>
        <item x="9"/>
        <item x="1"/>
        <item t="default"/>
      </items>
    </pivotField>
    <pivotField showAll="0">
      <items count="31">
        <item x="15"/>
        <item x="8"/>
        <item x="13"/>
        <item x="7"/>
        <item x="1"/>
        <item x="29"/>
        <item x="14"/>
        <item x="3"/>
        <item x="2"/>
        <item x="10"/>
        <item x="21"/>
        <item x="12"/>
        <item x="5"/>
        <item x="25"/>
        <item x="16"/>
        <item x="24"/>
        <item x="18"/>
        <item x="9"/>
        <item x="23"/>
        <item x="27"/>
        <item x="20"/>
        <item x="22"/>
        <item x="19"/>
        <item x="0"/>
        <item x="11"/>
        <item x="6"/>
        <item x="28"/>
        <item x="26"/>
        <item x="4"/>
        <item x="17"/>
        <item t="default"/>
      </items>
    </pivotField>
    <pivotField dataField="1" showAll="0"/>
    <pivotField dataField="1" showAll="0"/>
    <pivotField axis="axisPage" multipleItemSelectionAllowed="1" showAll="0">
      <items count="6">
        <item x="0"/>
        <item x="1"/>
        <item h="1" x="2"/>
        <item h="1" x="3"/>
        <item h="1" x="4"/>
        <item t="default"/>
      </items>
    </pivotField>
  </pivotFields>
  <rowFields count="1">
    <field x="1"/>
  </rowFields>
  <rowItems count="10">
    <i>
      <x v="2"/>
    </i>
    <i>
      <x v="6"/>
    </i>
    <i>
      <x v="7"/>
    </i>
    <i>
      <x v="10"/>
    </i>
    <i>
      <x v="11"/>
    </i>
    <i>
      <x v="13"/>
    </i>
    <i>
      <x v="14"/>
    </i>
    <i>
      <x v="17"/>
    </i>
    <i>
      <x v="20"/>
    </i>
    <i t="grand">
      <x/>
    </i>
  </rowItems>
  <colFields count="1">
    <field x="-2"/>
  </colFields>
  <colItems count="2">
    <i>
      <x/>
    </i>
    <i i="1">
      <x v="1"/>
    </i>
  </colItems>
  <pageFields count="1">
    <pageField fld="5" hier="-1"/>
  </pageFields>
  <dataFields count="2">
    <dataField name="Sum of Price ($)" fld="3" baseField="0" baseItem="0"/>
    <dataField name="Sum of Quantity" fld="4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9">
  <location ref="A3:C25" firstHeaderRow="0" firstDataRow="1" firstDataCol="1" rowPageCount="1" colPageCount="1"/>
  <pivotFields count="6">
    <pivotField showAll="0"/>
    <pivotField axis="axisRow" showAll="0">
      <items count="22">
        <item x="18"/>
        <item x="16"/>
        <item x="6"/>
        <item x="20"/>
        <item x="17"/>
        <item x="11"/>
        <item x="2"/>
        <item x="4"/>
        <item x="19"/>
        <item x="10"/>
        <item x="8"/>
        <item x="0"/>
        <item x="15"/>
        <item x="7"/>
        <item x="3"/>
        <item x="12"/>
        <item x="13"/>
        <item x="5"/>
        <item x="14"/>
        <item x="9"/>
        <item x="1"/>
        <item t="default"/>
      </items>
    </pivotField>
    <pivotField showAll="0"/>
    <pivotField dataField="1" showAll="0"/>
    <pivotField dataField="1" showAll="0">
      <items count="11">
        <item x="2"/>
        <item x="8"/>
        <item x="3"/>
        <item x="1"/>
        <item x="7"/>
        <item x="4"/>
        <item x="0"/>
        <item x="9"/>
        <item x="5"/>
        <item x="6"/>
        <item t="default"/>
      </items>
    </pivotField>
    <pivotField axis="axisPage" showAll="0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pageFields count="1">
    <pageField fld="5" hier="-1"/>
  </pageFields>
  <dataFields count="2">
    <dataField name="Sum of Price ($)" fld="3" baseField="0" baseItem="0"/>
    <dataField name="Sum of Quantity" fld="4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1"/>
          </reference>
          <reference field="1" count="1" selected="0">
            <x v="5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1"/>
          </reference>
          <reference field="1" count="1" selected="0">
            <x v="6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1"/>
          </reference>
          <reference field="1" count="1" selected="0">
            <x v="9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1"/>
          </reference>
          <reference field="1" count="1" selected="0">
            <x v="18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1"/>
          </reference>
          <reference field="1" count="1" selected="0">
            <x v="12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1"/>
          </reference>
          <reference field="1" count="1" selected="0">
            <x v="1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9">
  <location ref="A3:B9" firstHeaderRow="1" firstDataRow="1" firstDataCol="1" rowPageCount="1" colPageCount="1"/>
  <pivotFields count="6">
    <pivotField showAll="0">
      <items count="32">
        <item x="21"/>
        <item x="16"/>
        <item x="20"/>
        <item x="26"/>
        <item x="8"/>
        <item x="6"/>
        <item x="17"/>
        <item x="25"/>
        <item x="23"/>
        <item x="1"/>
        <item x="11"/>
        <item x="27"/>
        <item x="22"/>
        <item x="30"/>
        <item x="9"/>
        <item x="29"/>
        <item x="18"/>
        <item x="7"/>
        <item x="12"/>
        <item x="3"/>
        <item x="4"/>
        <item x="15"/>
        <item x="5"/>
        <item x="0"/>
        <item x="28"/>
        <item x="24"/>
        <item x="2"/>
        <item x="19"/>
        <item x="13"/>
        <item x="14"/>
        <item x="10"/>
        <item t="default"/>
      </items>
    </pivotField>
    <pivotField showAll="0">
      <items count="22">
        <item x="18"/>
        <item x="16"/>
        <item x="6"/>
        <item x="20"/>
        <item x="17"/>
        <item x="11"/>
        <item x="2"/>
        <item x="4"/>
        <item x="19"/>
        <item x="10"/>
        <item x="8"/>
        <item x="0"/>
        <item x="15"/>
        <item x="7"/>
        <item x="3"/>
        <item x="12"/>
        <item x="13"/>
        <item x="5"/>
        <item x="14"/>
        <item x="9"/>
        <item x="1"/>
        <item t="default"/>
      </items>
    </pivotField>
    <pivotField showAll="0">
      <items count="31">
        <item x="15"/>
        <item x="8"/>
        <item x="13"/>
        <item x="7"/>
        <item x="1"/>
        <item x="29"/>
        <item x="14"/>
        <item x="3"/>
        <item x="2"/>
        <item x="10"/>
        <item x="21"/>
        <item x="12"/>
        <item x="5"/>
        <item x="25"/>
        <item x="16"/>
        <item x="24"/>
        <item x="18"/>
        <item x="9"/>
        <item x="23"/>
        <item x="27"/>
        <item x="20"/>
        <item x="22"/>
        <item x="19"/>
        <item x="0"/>
        <item x="11"/>
        <item x="6"/>
        <item x="28"/>
        <item x="26"/>
        <item x="4"/>
        <item x="17"/>
        <item t="default"/>
      </items>
    </pivotField>
    <pivotField dataField="1" showAll="0"/>
    <pivotField axis="axisPage" showAll="0">
      <items count="11">
        <item x="2"/>
        <item x="8"/>
        <item x="3"/>
        <item x="1"/>
        <item x="7"/>
        <item x="4"/>
        <item x="0"/>
        <item x="9"/>
        <item x="5"/>
        <item x="6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4" hier="-1"/>
  </pageFields>
  <dataFields count="1">
    <dataField name="Sum of Price ($)" fld="3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_1" displayName="Table_1" ref="A1:G35">
  <autoFilter ref="A1:G35"/>
  <sortState ref="A2:F35">
    <sortCondition ref="F2:F35"/>
    <sortCondition ref="D2:D35"/>
  </sortState>
  <tableColumns count="7">
    <tableColumn id="1" name="Product ID" dataDxfId="23"/>
    <tableColumn id="2" name="Product Name" dataDxfId="22"/>
    <tableColumn id="3" name="Brand Name" dataDxfId="21"/>
    <tableColumn id="4" name="Price ($)" dataDxfId="20"/>
    <tableColumn id="5" name="Quantity" dataDxfId="19"/>
    <tableColumn id="6" name="Category" dataDxfId="18"/>
    <tableColumn id="7" name="Average price" dataDxfId="17">
      <calculatedColumnFormula>AVERAGE(D2/E2)</calculatedColumnFormula>
    </tableColumn>
  </tableColumns>
  <tableStyleInfo name="Dataset-style 2" showFirstColumn="1" showLastColumn="1" showRowStripes="1" showColumnStripes="0"/>
</table>
</file>

<file path=xl/tables/table2.xml><?xml version="1.0" encoding="utf-8"?>
<table xmlns="http://schemas.openxmlformats.org/spreadsheetml/2006/main" id="3" name="Table_3" displayName="Table_3" ref="I10:M15">
  <tableColumns count="5">
    <tableColumn id="1" name="Product ID"/>
    <tableColumn id="2" name="Product Name" dataDxfId="16">
      <calculatedColumnFormula>VLOOKUP(I11,$A$2:$F$35,2,FALSE)</calculatedColumnFormula>
    </tableColumn>
    <tableColumn id="3" name="Price ($)" dataDxfId="15">
      <calculatedColumnFormula>VLOOKUP(I11,$A$2:$F$35,4,FALSE)</calculatedColumnFormula>
    </tableColumn>
    <tableColumn id="4" name="Category" dataDxfId="14"/>
    <tableColumn id="5" name="Discount" dataDxfId="13">
      <calculatedColumnFormula>HLOOKUP($L11, $J$4:$N$5,2,FALSE)</calculatedColumnFormula>
    </tableColumn>
  </tableColumns>
  <tableStyleInfo name="Dataset-style 3" showFirstColumn="1" showLastColumn="1" showRowStripes="1" showColumnStripes="0"/>
</table>
</file>

<file path=xl/tables/table3.xml><?xml version="1.0" encoding="utf-8"?>
<table xmlns="http://schemas.openxmlformats.org/spreadsheetml/2006/main" id="2" name="Table_13" displayName="Table_13" ref="A1:F35">
  <autoFilter ref="A1:F35">
    <filterColumn colId="4">
      <customFilters and="1">
        <customFilter operator="greaterThanOrEqual" val="10"/>
        <customFilter operator="lessThanOrEqual" val="20"/>
      </customFilters>
    </filterColumn>
  </autoFilter>
  <sortState ref="A2:F35">
    <sortCondition ref="F2:F35"/>
    <sortCondition ref="D2:D35"/>
  </sortState>
  <tableColumns count="6">
    <tableColumn id="1" name="Product ID"/>
    <tableColumn id="2" name="Product Name"/>
    <tableColumn id="3" name="Brand Name"/>
    <tableColumn id="4" name="Price ($)"/>
    <tableColumn id="5" name="Quantity"/>
    <tableColumn id="6" name="Category" dataDxfId="12"/>
  </tableColumns>
  <tableStyleInfo name="Dataset-style 2" showFirstColumn="1" showLastColumn="1" showRowStripes="1" showColumnStripes="0"/>
</table>
</file>

<file path=xl/tables/table4.xml><?xml version="1.0" encoding="utf-8"?>
<table xmlns="http://schemas.openxmlformats.org/spreadsheetml/2006/main" id="4" name="Table_15" displayName="Table_15" ref="A1:F35">
  <autoFilter ref="A1:F35"/>
  <sortState ref="A2:F35">
    <sortCondition ref="F2:F35"/>
    <sortCondition ref="D2:D35"/>
  </sortState>
  <tableColumns count="6">
    <tableColumn id="1" name="Product ID" dataDxfId="11"/>
    <tableColumn id="2" name="Product Name" dataDxfId="10"/>
    <tableColumn id="3" name="Brand Name" dataDxfId="9"/>
    <tableColumn id="4" name="Price ($)" dataDxfId="8"/>
    <tableColumn id="5" name="Quantity" dataDxfId="7"/>
    <tableColumn id="6" name="Category" dataDxfId="6"/>
  </tableColumns>
  <tableStyleInfo name="Dataset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6"/>
  <sheetViews>
    <sheetView showGridLines="0" tabSelected="1" workbookViewId="0">
      <selection activeCell="L23" sqref="L23"/>
    </sheetView>
  </sheetViews>
  <sheetFormatPr defaultColWidth="12.6640625" defaultRowHeight="15.75" customHeight="1"/>
  <cols>
    <col min="2" max="2" width="7.44140625" customWidth="1"/>
  </cols>
  <sheetData>
    <row r="1" spans="1:10" ht="13.8">
      <c r="A1" s="1" t="s">
        <v>0</v>
      </c>
    </row>
    <row r="3" spans="1:10" ht="15.75" customHeight="1">
      <c r="B3" s="2" t="s">
        <v>1</v>
      </c>
    </row>
    <row r="4" spans="1:10" ht="15">
      <c r="C4" s="3" t="s">
        <v>2</v>
      </c>
    </row>
    <row r="5" spans="1:10" ht="15.75" customHeight="1">
      <c r="B5" s="4"/>
    </row>
    <row r="6" spans="1:10" ht="15.75" customHeight="1">
      <c r="B6" s="2" t="s">
        <v>3</v>
      </c>
    </row>
    <row r="7" spans="1:10" ht="15.75" customHeight="1">
      <c r="B7" s="2"/>
      <c r="C7" s="3" t="s">
        <v>4</v>
      </c>
    </row>
    <row r="8" spans="1:10" ht="15.75" customHeight="1">
      <c r="B8" s="4"/>
      <c r="C8" s="3" t="s">
        <v>5</v>
      </c>
    </row>
    <row r="10" spans="1:10" ht="15.75" customHeight="1">
      <c r="B10" s="2" t="s">
        <v>6</v>
      </c>
    </row>
    <row r="11" spans="1:10" ht="15">
      <c r="C11" s="3" t="s">
        <v>7</v>
      </c>
    </row>
    <row r="12" spans="1:10" ht="15.75" customHeight="1">
      <c r="B12" s="4"/>
    </row>
    <row r="13" spans="1:10" ht="15.75" customHeight="1">
      <c r="B13" s="2" t="s">
        <v>8</v>
      </c>
    </row>
    <row r="14" spans="1:10" ht="15">
      <c r="C14" s="3" t="s">
        <v>9</v>
      </c>
    </row>
    <row r="16" spans="1:10" ht="15.75" customHeight="1">
      <c r="B16" s="5" t="s">
        <v>10</v>
      </c>
      <c r="C16" s="6"/>
      <c r="D16" s="6"/>
      <c r="E16" s="6"/>
      <c r="F16" s="6"/>
      <c r="G16" s="6"/>
      <c r="H16" s="6"/>
      <c r="I16" s="6"/>
      <c r="J16" s="6"/>
    </row>
    <row r="17" spans="2:10" ht="15.75" customHeight="1">
      <c r="B17" s="6"/>
      <c r="C17" s="7" t="s">
        <v>11</v>
      </c>
      <c r="D17" s="6"/>
      <c r="E17" s="6"/>
      <c r="F17" s="6"/>
      <c r="G17" s="6"/>
      <c r="H17" s="6"/>
      <c r="I17" s="6"/>
      <c r="J17" s="6"/>
    </row>
    <row r="18" spans="2:10" ht="15.75" customHeight="1">
      <c r="B18" s="6"/>
      <c r="C18" s="7" t="s">
        <v>12</v>
      </c>
      <c r="D18" s="6"/>
      <c r="E18" s="6"/>
      <c r="F18" s="6"/>
      <c r="G18" s="6"/>
      <c r="H18" s="6"/>
      <c r="I18" s="6"/>
      <c r="J18" s="6"/>
    </row>
    <row r="19" spans="2:10" ht="15.75" customHeight="1">
      <c r="B19" s="6"/>
      <c r="C19" s="8" t="s">
        <v>13</v>
      </c>
      <c r="D19" s="6"/>
      <c r="E19" s="6"/>
      <c r="F19" s="6"/>
      <c r="G19" s="6"/>
      <c r="H19" s="6"/>
      <c r="I19" s="6"/>
      <c r="J19" s="6"/>
    </row>
    <row r="20" spans="2:10" ht="15.75" customHeight="1">
      <c r="B20" s="9"/>
      <c r="C20" s="6"/>
      <c r="D20" s="6"/>
      <c r="E20" s="6"/>
      <c r="F20" s="6"/>
      <c r="G20" s="6"/>
      <c r="H20" s="6"/>
      <c r="I20" s="6"/>
      <c r="J20" s="6"/>
    </row>
    <row r="21" spans="2:10" ht="15.75" customHeight="1">
      <c r="B21" s="5" t="s">
        <v>14</v>
      </c>
      <c r="C21" s="6"/>
      <c r="D21" s="6"/>
      <c r="E21" s="6"/>
      <c r="F21" s="6"/>
      <c r="G21" s="6"/>
      <c r="H21" s="6"/>
      <c r="I21" s="6"/>
      <c r="J21" s="6"/>
    </row>
    <row r="22" spans="2:10" ht="15.75" customHeight="1">
      <c r="B22" s="6"/>
      <c r="C22" s="7" t="s">
        <v>15</v>
      </c>
      <c r="D22" s="6"/>
      <c r="E22" s="6"/>
      <c r="F22" s="6"/>
      <c r="G22" s="6"/>
      <c r="H22" s="6"/>
      <c r="I22" s="6"/>
      <c r="J22" s="6"/>
    </row>
    <row r="23" spans="2:10" ht="15.75" customHeight="1">
      <c r="B23" s="6"/>
      <c r="C23" s="7" t="s">
        <v>16</v>
      </c>
      <c r="D23" s="6"/>
      <c r="E23" s="6"/>
      <c r="F23" s="6"/>
      <c r="G23" s="6"/>
      <c r="H23" s="6"/>
      <c r="I23" s="6"/>
      <c r="J23" s="6"/>
    </row>
    <row r="24" spans="2:10" ht="13.2">
      <c r="B24" s="6"/>
      <c r="C24" s="6"/>
      <c r="D24" s="6"/>
      <c r="E24" s="6"/>
      <c r="F24" s="6"/>
      <c r="G24" s="6"/>
      <c r="H24" s="6"/>
      <c r="I24" s="6"/>
      <c r="J24" s="6"/>
    </row>
    <row r="25" spans="2:10" ht="15.75" customHeight="1">
      <c r="B25" s="5" t="s">
        <v>17</v>
      </c>
      <c r="C25" s="6"/>
      <c r="D25" s="6"/>
      <c r="E25" s="6"/>
      <c r="F25" s="6"/>
      <c r="G25" s="6"/>
      <c r="H25" s="6"/>
      <c r="I25" s="6"/>
      <c r="J25" s="6"/>
    </row>
    <row r="26" spans="2:10" ht="15.75" customHeight="1">
      <c r="B26" s="6"/>
      <c r="C26" s="7" t="s">
        <v>18</v>
      </c>
      <c r="D26" s="6"/>
      <c r="E26" s="6"/>
      <c r="F26" s="6"/>
      <c r="G26" s="6"/>
      <c r="H26" s="6"/>
      <c r="I26" s="6"/>
      <c r="J26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5"/>
  <sheetViews>
    <sheetView workbookViewId="0">
      <selection activeCell="G11" sqref="G11"/>
    </sheetView>
  </sheetViews>
  <sheetFormatPr defaultColWidth="12.6640625" defaultRowHeight="15.75" customHeight="1"/>
  <cols>
    <col min="2" max="2" width="12.88671875" customWidth="1"/>
    <col min="8" max="8" width="12.6640625" customWidth="1"/>
    <col min="9" max="9" width="11.33203125" customWidth="1"/>
    <col min="10" max="10" width="12.6640625" customWidth="1"/>
    <col min="11" max="12" width="11.33203125" customWidth="1"/>
    <col min="13" max="13" width="14.33203125" customWidth="1"/>
  </cols>
  <sheetData>
    <row r="1" spans="1:14" ht="13.2">
      <c r="A1" s="10" t="s">
        <v>19</v>
      </c>
      <c r="B1" s="10" t="s">
        <v>20</v>
      </c>
      <c r="C1" s="10" t="s">
        <v>21</v>
      </c>
      <c r="D1" s="10" t="s">
        <v>22</v>
      </c>
      <c r="E1" s="10" t="s">
        <v>23</v>
      </c>
      <c r="F1" s="20" t="s">
        <v>24</v>
      </c>
      <c r="G1" s="20" t="s">
        <v>124</v>
      </c>
    </row>
    <row r="2" spans="1:14" ht="13.2">
      <c r="A2" s="46" t="s">
        <v>78</v>
      </c>
      <c r="B2" s="46" t="s">
        <v>79</v>
      </c>
      <c r="C2" s="46" t="s">
        <v>80</v>
      </c>
      <c r="D2" s="46">
        <v>50</v>
      </c>
      <c r="E2" s="46">
        <v>35</v>
      </c>
      <c r="F2" s="47" t="s">
        <v>34</v>
      </c>
      <c r="G2" s="57">
        <f t="shared" ref="G2:G35" si="0">AVERAGE(D2/E2)</f>
        <v>1.4285714285714286</v>
      </c>
    </row>
    <row r="3" spans="1:14" ht="15.75" customHeight="1">
      <c r="A3" s="48" t="s">
        <v>78</v>
      </c>
      <c r="B3" s="48" t="s">
        <v>79</v>
      </c>
      <c r="C3" s="48" t="s">
        <v>80</v>
      </c>
      <c r="D3" s="49">
        <v>50</v>
      </c>
      <c r="E3" s="49">
        <v>35</v>
      </c>
      <c r="F3" s="50" t="s">
        <v>34</v>
      </c>
      <c r="G3" s="58">
        <f t="shared" si="0"/>
        <v>1.4285714285714286</v>
      </c>
      <c r="I3" s="59" t="s">
        <v>29</v>
      </c>
      <c r="J3" s="60"/>
      <c r="K3" s="60"/>
      <c r="L3" s="60"/>
      <c r="M3" s="60"/>
      <c r="N3" s="61"/>
    </row>
    <row r="4" spans="1:14" ht="15.75" customHeight="1">
      <c r="A4" s="46" t="s">
        <v>69</v>
      </c>
      <c r="B4" s="46" t="s">
        <v>115</v>
      </c>
      <c r="C4" s="46" t="s">
        <v>116</v>
      </c>
      <c r="D4" s="46">
        <v>100</v>
      </c>
      <c r="E4" s="46">
        <v>20</v>
      </c>
      <c r="F4" s="47" t="s">
        <v>34</v>
      </c>
      <c r="G4" s="57">
        <f>AVERAGE(D4/E4)</f>
        <v>5</v>
      </c>
      <c r="I4" s="44" t="s">
        <v>24</v>
      </c>
      <c r="J4" s="12" t="s">
        <v>34</v>
      </c>
      <c r="K4" s="12" t="s">
        <v>28</v>
      </c>
      <c r="L4" s="12" t="s">
        <v>33</v>
      </c>
      <c r="M4" s="12" t="s">
        <v>35</v>
      </c>
      <c r="N4" s="12" t="s">
        <v>36</v>
      </c>
    </row>
    <row r="5" spans="1:14" ht="14.4">
      <c r="A5" s="46" t="s">
        <v>110</v>
      </c>
      <c r="B5" s="46" t="s">
        <v>97</v>
      </c>
      <c r="C5" s="46" t="s">
        <v>111</v>
      </c>
      <c r="D5" s="46">
        <v>130</v>
      </c>
      <c r="E5" s="46">
        <v>5</v>
      </c>
      <c r="F5" s="47" t="s">
        <v>28</v>
      </c>
      <c r="G5" s="57">
        <f>AVERAGE(D5/E5)</f>
        <v>26</v>
      </c>
      <c r="I5" s="45" t="s">
        <v>40</v>
      </c>
      <c r="J5" s="13">
        <v>0.05</v>
      </c>
      <c r="K5" s="13">
        <v>0.15</v>
      </c>
      <c r="L5" s="13">
        <v>0.1</v>
      </c>
      <c r="M5" s="13">
        <v>0.1</v>
      </c>
      <c r="N5" s="13">
        <v>0.05</v>
      </c>
    </row>
    <row r="6" spans="1:14" ht="13.2">
      <c r="A6" s="46" t="s">
        <v>73</v>
      </c>
      <c r="B6" s="46" t="s">
        <v>74</v>
      </c>
      <c r="C6" s="46" t="s">
        <v>75</v>
      </c>
      <c r="D6" s="46">
        <v>150</v>
      </c>
      <c r="E6" s="46">
        <v>15</v>
      </c>
      <c r="F6" s="47" t="s">
        <v>28</v>
      </c>
      <c r="G6" s="57">
        <f t="shared" si="0"/>
        <v>10</v>
      </c>
    </row>
    <row r="7" spans="1:14" ht="13.2">
      <c r="A7" s="46" t="s">
        <v>96</v>
      </c>
      <c r="B7" s="46" t="s">
        <v>97</v>
      </c>
      <c r="C7" s="46" t="s">
        <v>98</v>
      </c>
      <c r="D7" s="46">
        <v>150</v>
      </c>
      <c r="E7" s="46">
        <v>30</v>
      </c>
      <c r="F7" s="47" t="s">
        <v>28</v>
      </c>
      <c r="G7" s="57">
        <f t="shared" si="0"/>
        <v>5</v>
      </c>
    </row>
    <row r="8" spans="1:14" ht="13.2">
      <c r="A8" s="46" t="s">
        <v>81</v>
      </c>
      <c r="B8" s="46" t="s">
        <v>74</v>
      </c>
      <c r="C8" s="46" t="s">
        <v>82</v>
      </c>
      <c r="D8" s="46">
        <v>160</v>
      </c>
      <c r="E8" s="46">
        <v>15</v>
      </c>
      <c r="F8" s="47" t="s">
        <v>28</v>
      </c>
      <c r="G8" s="57">
        <f t="shared" si="0"/>
        <v>10.666666666666666</v>
      </c>
      <c r="I8" s="59" t="s">
        <v>50</v>
      </c>
      <c r="J8" s="59"/>
      <c r="K8" s="59"/>
      <c r="L8" s="59"/>
      <c r="M8" s="62"/>
    </row>
    <row r="9" spans="1:14" ht="13.2">
      <c r="A9" s="46" t="s">
        <v>47</v>
      </c>
      <c r="B9" s="46" t="s">
        <v>48</v>
      </c>
      <c r="C9" s="46" t="s">
        <v>49</v>
      </c>
      <c r="D9" s="46">
        <v>200</v>
      </c>
      <c r="E9" s="46">
        <v>45</v>
      </c>
      <c r="F9" s="47" t="s">
        <v>28</v>
      </c>
      <c r="G9" s="57">
        <f t="shared" si="0"/>
        <v>4.4444444444444446</v>
      </c>
      <c r="I9" s="42" t="s">
        <v>54</v>
      </c>
      <c r="J9" s="42"/>
      <c r="K9" s="42"/>
      <c r="L9" s="43"/>
      <c r="M9" s="14" t="s">
        <v>55</v>
      </c>
    </row>
    <row r="10" spans="1:14" ht="13.2">
      <c r="A10" s="46" t="s">
        <v>76</v>
      </c>
      <c r="B10" s="46" t="s">
        <v>48</v>
      </c>
      <c r="C10" s="46" t="s">
        <v>77</v>
      </c>
      <c r="D10" s="46">
        <v>250</v>
      </c>
      <c r="E10" s="46">
        <v>20</v>
      </c>
      <c r="F10" s="47" t="s">
        <v>28</v>
      </c>
      <c r="G10" s="57">
        <f t="shared" si="0"/>
        <v>12.5</v>
      </c>
      <c r="I10" s="15" t="s">
        <v>19</v>
      </c>
      <c r="J10" s="15" t="s">
        <v>20</v>
      </c>
      <c r="K10" s="15" t="s">
        <v>22</v>
      </c>
      <c r="L10" s="15" t="s">
        <v>24</v>
      </c>
      <c r="M10" s="15" t="s">
        <v>40</v>
      </c>
    </row>
    <row r="11" spans="1:14" ht="13.2">
      <c r="A11" s="48" t="s">
        <v>76</v>
      </c>
      <c r="B11" s="48" t="s">
        <v>48</v>
      </c>
      <c r="C11" s="48" t="s">
        <v>77</v>
      </c>
      <c r="D11" s="49">
        <v>300</v>
      </c>
      <c r="E11" s="49">
        <v>20</v>
      </c>
      <c r="F11" s="50" t="s">
        <v>28</v>
      </c>
      <c r="G11" s="58">
        <f t="shared" si="0"/>
        <v>15</v>
      </c>
      <c r="I11" s="11" t="s">
        <v>44</v>
      </c>
      <c r="J11" s="16" t="str">
        <f>VLOOKUP(I11,$A$2:$F$35,2,FALSE)</f>
        <v>Backpack</v>
      </c>
      <c r="K11" s="16">
        <f>VLOOKUP(I11,$A$2:$F$35,4,FALSE)</f>
        <v>70</v>
      </c>
      <c r="L11" s="16" t="s">
        <v>34</v>
      </c>
      <c r="M11" s="34">
        <f>HLOOKUP($L11, $J$4:$N$5,2,FALSE)</f>
        <v>0.05</v>
      </c>
    </row>
    <row r="12" spans="1:14" ht="13.2">
      <c r="A12" s="46" t="s">
        <v>59</v>
      </c>
      <c r="B12" s="46" t="s">
        <v>60</v>
      </c>
      <c r="C12" s="46" t="s">
        <v>61</v>
      </c>
      <c r="D12" s="46">
        <v>500</v>
      </c>
      <c r="E12" s="46">
        <v>50</v>
      </c>
      <c r="F12" s="47" t="s">
        <v>28</v>
      </c>
      <c r="G12" s="57">
        <f t="shared" si="0"/>
        <v>10</v>
      </c>
      <c r="I12" s="11" t="s">
        <v>51</v>
      </c>
      <c r="J12" s="16" t="str">
        <f>VLOOKUP(I12,$A$2:$F$35,2,FALSE)</f>
        <v>T-shirt</v>
      </c>
      <c r="K12" s="16">
        <f>VLOOKUP(I12,$A$2:$F$35,4,FALSE)</f>
        <v>30</v>
      </c>
      <c r="L12" s="16" t="s">
        <v>28</v>
      </c>
      <c r="M12" s="34">
        <f>HLOOKUP($L12, $J$4:$N$5,2,FALSE)</f>
        <v>0.15</v>
      </c>
    </row>
    <row r="13" spans="1:14" ht="13.2">
      <c r="A13" s="46" t="s">
        <v>67</v>
      </c>
      <c r="B13" s="46" t="s">
        <v>91</v>
      </c>
      <c r="C13" s="46" t="s">
        <v>92</v>
      </c>
      <c r="D13" s="46">
        <v>700</v>
      </c>
      <c r="E13" s="46">
        <v>50</v>
      </c>
      <c r="F13" s="47" t="s">
        <v>28</v>
      </c>
      <c r="G13" s="57">
        <f t="shared" si="0"/>
        <v>14</v>
      </c>
      <c r="I13" s="11" t="s">
        <v>67</v>
      </c>
      <c r="J13" s="16" t="str">
        <f>VLOOKUP(I13,$A$2:$F$35,2,FALSE)</f>
        <v>Camera</v>
      </c>
      <c r="K13" s="16">
        <f>VLOOKUP(I13,$A$2:$F$35,4,FALSE)</f>
        <v>700</v>
      </c>
      <c r="L13" s="16" t="s">
        <v>33</v>
      </c>
      <c r="M13" s="34">
        <f>HLOOKUP($L13, $J$4:$N$5,2,FALSE)</f>
        <v>0.1</v>
      </c>
    </row>
    <row r="14" spans="1:14" ht="13.2">
      <c r="A14" s="46" t="s">
        <v>99</v>
      </c>
      <c r="B14" s="46" t="s">
        <v>42</v>
      </c>
      <c r="C14" s="46" t="s">
        <v>100</v>
      </c>
      <c r="D14" s="46">
        <v>800</v>
      </c>
      <c r="E14" s="46">
        <v>45</v>
      </c>
      <c r="F14" s="47" t="s">
        <v>28</v>
      </c>
      <c r="G14" s="57">
        <f t="shared" si="0"/>
        <v>17.777777777777779</v>
      </c>
      <c r="I14" s="11" t="s">
        <v>69</v>
      </c>
      <c r="J14" s="16" t="str">
        <f>VLOOKUP(I14,$A$2:$F$35,2,FALSE)</f>
        <v>Watch</v>
      </c>
      <c r="K14" s="16">
        <f>VLOOKUP(I14,$A$2:$F$35,4,FALSE)</f>
        <v>100</v>
      </c>
      <c r="L14" s="16" t="s">
        <v>35</v>
      </c>
      <c r="M14" s="34">
        <f>HLOOKUP($L14, $J$4:$N$5,2,FALSE)</f>
        <v>0.1</v>
      </c>
    </row>
    <row r="15" spans="1:14" ht="13.2">
      <c r="A15" s="46" t="s">
        <v>41</v>
      </c>
      <c r="B15" s="46" t="s">
        <v>42</v>
      </c>
      <c r="C15" s="46" t="s">
        <v>43</v>
      </c>
      <c r="D15" s="46">
        <v>900</v>
      </c>
      <c r="E15" s="46">
        <v>25</v>
      </c>
      <c r="F15" s="47" t="s">
        <v>28</v>
      </c>
      <c r="G15" s="57">
        <f t="shared" si="0"/>
        <v>36</v>
      </c>
      <c r="I15" s="11" t="s">
        <v>72</v>
      </c>
      <c r="J15" s="16" t="str">
        <f>VLOOKUP(I15,$A$2:$F$35,2,FALSE)</f>
        <v>Toaster</v>
      </c>
      <c r="K15" s="16">
        <f>VLOOKUP(I15,$A$2:$F$35,4,FALSE)</f>
        <v>40</v>
      </c>
      <c r="L15" s="16" t="s">
        <v>36</v>
      </c>
      <c r="M15" s="34">
        <f>HLOOKUP($L15, $J$4:$N$5,2,FALSE)</f>
        <v>0.05</v>
      </c>
    </row>
    <row r="16" spans="1:14" ht="13.2">
      <c r="A16" s="46" t="s">
        <v>65</v>
      </c>
      <c r="B16" s="46" t="s">
        <v>26</v>
      </c>
      <c r="C16" s="46" t="s">
        <v>66</v>
      </c>
      <c r="D16" s="46">
        <v>950</v>
      </c>
      <c r="E16" s="46">
        <v>25</v>
      </c>
      <c r="F16" s="47" t="s">
        <v>28</v>
      </c>
      <c r="G16" s="57">
        <f t="shared" si="0"/>
        <v>38</v>
      </c>
    </row>
    <row r="17" spans="1:7" ht="13.2">
      <c r="A17" s="46" t="s">
        <v>65</v>
      </c>
      <c r="B17" s="46" t="s">
        <v>26</v>
      </c>
      <c r="C17" s="46" t="s">
        <v>66</v>
      </c>
      <c r="D17" s="46">
        <v>950</v>
      </c>
      <c r="E17" s="46">
        <v>25</v>
      </c>
      <c r="F17" s="47" t="s">
        <v>28</v>
      </c>
      <c r="G17" s="57">
        <f t="shared" si="0"/>
        <v>38</v>
      </c>
    </row>
    <row r="18" spans="1:7" ht="13.2">
      <c r="A18" s="46" t="s">
        <v>83</v>
      </c>
      <c r="B18" s="46" t="s">
        <v>26</v>
      </c>
      <c r="C18" s="46" t="s">
        <v>84</v>
      </c>
      <c r="D18" s="46">
        <v>980</v>
      </c>
      <c r="E18" s="46">
        <v>10</v>
      </c>
      <c r="F18" s="47" t="s">
        <v>28</v>
      </c>
      <c r="G18" s="57">
        <f t="shared" si="0"/>
        <v>98</v>
      </c>
    </row>
    <row r="19" spans="1:7" ht="13.2">
      <c r="A19" s="46" t="s">
        <v>25</v>
      </c>
      <c r="B19" s="46" t="s">
        <v>26</v>
      </c>
      <c r="C19" s="46" t="s">
        <v>27</v>
      </c>
      <c r="D19" s="46">
        <v>1000</v>
      </c>
      <c r="E19" s="46">
        <v>30</v>
      </c>
      <c r="F19" s="47" t="s">
        <v>28</v>
      </c>
      <c r="G19" s="57">
        <f t="shared" si="0"/>
        <v>33.333333333333336</v>
      </c>
    </row>
    <row r="20" spans="1:7" ht="13.2">
      <c r="A20" s="46" t="s">
        <v>51</v>
      </c>
      <c r="B20" s="46" t="s">
        <v>52</v>
      </c>
      <c r="C20" s="46" t="s">
        <v>53</v>
      </c>
      <c r="D20" s="46">
        <v>30</v>
      </c>
      <c r="E20" s="46">
        <v>5</v>
      </c>
      <c r="F20" s="47" t="s">
        <v>33</v>
      </c>
      <c r="G20" s="57">
        <f t="shared" si="0"/>
        <v>6</v>
      </c>
    </row>
    <row r="21" spans="1:7" ht="13.2">
      <c r="A21" s="46" t="s">
        <v>112</v>
      </c>
      <c r="B21" s="46" t="s">
        <v>113</v>
      </c>
      <c r="C21" s="46" t="s">
        <v>114</v>
      </c>
      <c r="D21" s="46">
        <v>50</v>
      </c>
      <c r="E21" s="46">
        <v>50</v>
      </c>
      <c r="F21" s="47" t="s">
        <v>33</v>
      </c>
      <c r="G21" s="57">
        <f t="shared" si="0"/>
        <v>1</v>
      </c>
    </row>
    <row r="22" spans="1:7" ht="13.2">
      <c r="A22" s="46" t="s">
        <v>105</v>
      </c>
      <c r="B22" s="46" t="s">
        <v>106</v>
      </c>
      <c r="C22" s="46" t="s">
        <v>107</v>
      </c>
      <c r="D22" s="46">
        <v>60</v>
      </c>
      <c r="E22" s="46">
        <v>30</v>
      </c>
      <c r="F22" s="47" t="s">
        <v>33</v>
      </c>
      <c r="G22" s="57">
        <f t="shared" si="0"/>
        <v>2</v>
      </c>
    </row>
    <row r="23" spans="1:7" ht="13.2">
      <c r="A23" s="46" t="s">
        <v>30</v>
      </c>
      <c r="B23" s="46" t="s">
        <v>31</v>
      </c>
      <c r="C23" s="46" t="s">
        <v>32</v>
      </c>
      <c r="D23" s="46">
        <v>80</v>
      </c>
      <c r="E23" s="46">
        <v>15</v>
      </c>
      <c r="F23" s="47" t="s">
        <v>33</v>
      </c>
      <c r="G23" s="57">
        <f t="shared" si="0"/>
        <v>5.333333333333333</v>
      </c>
    </row>
    <row r="24" spans="1:7" ht="13.2">
      <c r="A24" s="46" t="s">
        <v>68</v>
      </c>
      <c r="B24" s="46" t="s">
        <v>31</v>
      </c>
      <c r="C24" s="46" t="s">
        <v>53</v>
      </c>
      <c r="D24" s="46">
        <v>90</v>
      </c>
      <c r="E24" s="46">
        <v>40</v>
      </c>
      <c r="F24" s="47" t="s">
        <v>33</v>
      </c>
      <c r="G24" s="57">
        <f t="shared" si="0"/>
        <v>2.25</v>
      </c>
    </row>
    <row r="25" spans="1:7" ht="13.2">
      <c r="A25" s="46" t="s">
        <v>101</v>
      </c>
      <c r="B25" s="46" t="s">
        <v>86</v>
      </c>
      <c r="C25" s="46" t="s">
        <v>102</v>
      </c>
      <c r="D25" s="46">
        <v>130</v>
      </c>
      <c r="E25" s="46">
        <v>25</v>
      </c>
      <c r="F25" s="47" t="s">
        <v>33</v>
      </c>
      <c r="G25" s="57">
        <f t="shared" si="0"/>
        <v>5.2</v>
      </c>
    </row>
    <row r="26" spans="1:7" ht="13.2">
      <c r="A26" s="46" t="s">
        <v>85</v>
      </c>
      <c r="B26" s="46" t="s">
        <v>86</v>
      </c>
      <c r="C26" s="46" t="s">
        <v>87</v>
      </c>
      <c r="D26" s="46">
        <v>150</v>
      </c>
      <c r="E26" s="46">
        <v>15</v>
      </c>
      <c r="F26" s="47" t="s">
        <v>33</v>
      </c>
      <c r="G26" s="57">
        <f t="shared" si="0"/>
        <v>10</v>
      </c>
    </row>
    <row r="27" spans="1:7" ht="13.2">
      <c r="A27" s="46" t="s">
        <v>72</v>
      </c>
      <c r="B27" s="46" t="s">
        <v>108</v>
      </c>
      <c r="C27" s="46" t="s">
        <v>109</v>
      </c>
      <c r="D27" s="46">
        <v>40</v>
      </c>
      <c r="E27" s="46">
        <v>10</v>
      </c>
      <c r="F27" s="47" t="s">
        <v>35</v>
      </c>
      <c r="G27" s="57">
        <f t="shared" si="0"/>
        <v>4</v>
      </c>
    </row>
    <row r="28" spans="1:7" ht="13.2">
      <c r="A28" s="46" t="s">
        <v>93</v>
      </c>
      <c r="B28" s="46" t="s">
        <v>94</v>
      </c>
      <c r="C28" s="46" t="s">
        <v>95</v>
      </c>
      <c r="D28" s="46">
        <v>80</v>
      </c>
      <c r="E28" s="46">
        <v>20</v>
      </c>
      <c r="F28" s="47" t="s">
        <v>35</v>
      </c>
      <c r="G28" s="57">
        <f t="shared" si="0"/>
        <v>4</v>
      </c>
    </row>
    <row r="29" spans="1:7" ht="13.2">
      <c r="A29" s="46" t="s">
        <v>56</v>
      </c>
      <c r="B29" s="46" t="s">
        <v>57</v>
      </c>
      <c r="C29" s="46" t="s">
        <v>58</v>
      </c>
      <c r="D29" s="46">
        <v>90</v>
      </c>
      <c r="E29" s="46">
        <v>35</v>
      </c>
      <c r="F29" s="47" t="s">
        <v>35</v>
      </c>
      <c r="G29" s="57">
        <f t="shared" si="0"/>
        <v>2.5714285714285716</v>
      </c>
    </row>
    <row r="30" spans="1:7" ht="13.2">
      <c r="A30" s="46" t="s">
        <v>70</v>
      </c>
      <c r="B30" s="46" t="s">
        <v>38</v>
      </c>
      <c r="C30" s="46" t="s">
        <v>71</v>
      </c>
      <c r="D30" s="46">
        <v>120</v>
      </c>
      <c r="E30" s="46">
        <v>35</v>
      </c>
      <c r="F30" s="47" t="s">
        <v>35</v>
      </c>
      <c r="G30" s="57">
        <f t="shared" si="0"/>
        <v>3.4285714285714284</v>
      </c>
    </row>
    <row r="31" spans="1:7" ht="13.2">
      <c r="A31" s="46" t="s">
        <v>37</v>
      </c>
      <c r="B31" s="46" t="s">
        <v>38</v>
      </c>
      <c r="C31" s="46" t="s">
        <v>39</v>
      </c>
      <c r="D31" s="46">
        <v>130</v>
      </c>
      <c r="E31" s="46">
        <v>40</v>
      </c>
      <c r="F31" s="47" t="s">
        <v>35</v>
      </c>
      <c r="G31" s="57">
        <f t="shared" si="0"/>
        <v>3.25</v>
      </c>
    </row>
    <row r="32" spans="1:7" ht="13.2">
      <c r="A32" s="46" t="s">
        <v>103</v>
      </c>
      <c r="B32" s="46" t="s">
        <v>57</v>
      </c>
      <c r="C32" s="46" t="s">
        <v>104</v>
      </c>
      <c r="D32" s="46">
        <v>400</v>
      </c>
      <c r="E32" s="46">
        <v>40</v>
      </c>
      <c r="F32" s="47" t="s">
        <v>35</v>
      </c>
      <c r="G32" s="57">
        <f t="shared" si="0"/>
        <v>10</v>
      </c>
    </row>
    <row r="33" spans="1:7" ht="13.2">
      <c r="A33" s="46" t="s">
        <v>44</v>
      </c>
      <c r="B33" s="46" t="s">
        <v>45</v>
      </c>
      <c r="C33" s="46" t="s">
        <v>46</v>
      </c>
      <c r="D33" s="46">
        <v>70</v>
      </c>
      <c r="E33" s="46">
        <v>20</v>
      </c>
      <c r="F33" s="47" t="s">
        <v>36</v>
      </c>
      <c r="G33" s="57">
        <f t="shared" si="0"/>
        <v>3.5</v>
      </c>
    </row>
    <row r="34" spans="1:7" ht="13.2">
      <c r="A34" s="46" t="s">
        <v>62</v>
      </c>
      <c r="B34" s="46" t="s">
        <v>63</v>
      </c>
      <c r="C34" s="46" t="s">
        <v>64</v>
      </c>
      <c r="D34" s="46">
        <v>130</v>
      </c>
      <c r="E34" s="46">
        <v>10</v>
      </c>
      <c r="F34" s="47" t="s">
        <v>36</v>
      </c>
      <c r="G34" s="57">
        <f t="shared" si="0"/>
        <v>13</v>
      </c>
    </row>
    <row r="35" spans="1:7" ht="13.2">
      <c r="A35" s="46" t="s">
        <v>88</v>
      </c>
      <c r="B35" s="46" t="s">
        <v>89</v>
      </c>
      <c r="C35" s="46" t="s">
        <v>90</v>
      </c>
      <c r="D35" s="46">
        <v>200</v>
      </c>
      <c r="E35" s="46">
        <v>10</v>
      </c>
      <c r="F35" s="47" t="s">
        <v>36</v>
      </c>
      <c r="G35" s="57">
        <f t="shared" si="0"/>
        <v>20</v>
      </c>
    </row>
  </sheetData>
  <mergeCells count="2">
    <mergeCell ref="I3:N3"/>
    <mergeCell ref="I8:M8"/>
  </mergeCell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selection activeCell="I42" sqref="I42"/>
    </sheetView>
  </sheetViews>
  <sheetFormatPr defaultRowHeight="13.2"/>
  <cols>
    <col min="1" max="1" width="10.77734375" bestFit="1" customWidth="1"/>
    <col min="2" max="2" width="13.6640625" bestFit="1" customWidth="1"/>
    <col min="3" max="3" width="11.77734375" bestFit="1" customWidth="1"/>
    <col min="4" max="4" width="12.77734375" bestFit="1" customWidth="1"/>
    <col min="5" max="5" width="12.88671875" bestFit="1" customWidth="1"/>
    <col min="6" max="6" width="13.44140625" bestFit="1" customWidth="1"/>
  </cols>
  <sheetData>
    <row r="1" spans="1:6">
      <c r="A1" s="10" t="s">
        <v>19</v>
      </c>
      <c r="B1" s="10" t="s">
        <v>20</v>
      </c>
      <c r="C1" s="10" t="s">
        <v>21</v>
      </c>
      <c r="D1" s="10" t="s">
        <v>22</v>
      </c>
      <c r="E1" s="10" t="s">
        <v>23</v>
      </c>
      <c r="F1" s="20" t="s">
        <v>24</v>
      </c>
    </row>
    <row r="2" spans="1:6" hidden="1">
      <c r="A2" s="11" t="s">
        <v>78</v>
      </c>
      <c r="B2" s="11" t="s">
        <v>79</v>
      </c>
      <c r="C2" s="11" t="s">
        <v>80</v>
      </c>
      <c r="D2" s="11">
        <v>50</v>
      </c>
      <c r="E2" s="11">
        <v>35</v>
      </c>
      <c r="F2" s="21" t="s">
        <v>34</v>
      </c>
    </row>
    <row r="3" spans="1:6" hidden="1">
      <c r="A3" s="17" t="s">
        <v>78</v>
      </c>
      <c r="B3" s="17" t="s">
        <v>79</v>
      </c>
      <c r="C3" s="17" t="s">
        <v>80</v>
      </c>
      <c r="D3" s="18">
        <v>50</v>
      </c>
      <c r="E3" s="18">
        <v>35</v>
      </c>
      <c r="F3" s="19" t="s">
        <v>34</v>
      </c>
    </row>
    <row r="4" spans="1:6">
      <c r="A4" s="11" t="s">
        <v>69</v>
      </c>
      <c r="B4" s="11" t="s">
        <v>115</v>
      </c>
      <c r="C4" s="11" t="s">
        <v>116</v>
      </c>
      <c r="D4" s="11">
        <v>100</v>
      </c>
      <c r="E4" s="11">
        <v>20</v>
      </c>
      <c r="F4" s="21" t="s">
        <v>34</v>
      </c>
    </row>
    <row r="5" spans="1:6" hidden="1">
      <c r="A5" s="11" t="s">
        <v>110</v>
      </c>
      <c r="B5" s="11" t="s">
        <v>97</v>
      </c>
      <c r="C5" s="11" t="s">
        <v>111</v>
      </c>
      <c r="D5" s="11">
        <v>130</v>
      </c>
      <c r="E5" s="11">
        <v>5</v>
      </c>
      <c r="F5" s="21" t="s">
        <v>28</v>
      </c>
    </row>
    <row r="6" spans="1:6">
      <c r="A6" s="11" t="s">
        <v>73</v>
      </c>
      <c r="B6" s="11" t="s">
        <v>74</v>
      </c>
      <c r="C6" s="11" t="s">
        <v>75</v>
      </c>
      <c r="D6" s="11">
        <v>150</v>
      </c>
      <c r="E6" s="11">
        <v>15</v>
      </c>
      <c r="F6" s="21" t="s">
        <v>28</v>
      </c>
    </row>
    <row r="7" spans="1:6" hidden="1">
      <c r="A7" s="11" t="s">
        <v>96</v>
      </c>
      <c r="B7" s="11" t="s">
        <v>97</v>
      </c>
      <c r="C7" s="11" t="s">
        <v>98</v>
      </c>
      <c r="D7" s="11">
        <v>150</v>
      </c>
      <c r="E7" s="11">
        <v>30</v>
      </c>
      <c r="F7" s="21" t="s">
        <v>28</v>
      </c>
    </row>
    <row r="8" spans="1:6">
      <c r="A8" s="11" t="s">
        <v>81</v>
      </c>
      <c r="B8" s="11" t="s">
        <v>74</v>
      </c>
      <c r="C8" s="11" t="s">
        <v>82</v>
      </c>
      <c r="D8" s="11">
        <v>160</v>
      </c>
      <c r="E8" s="11">
        <v>15</v>
      </c>
      <c r="F8" s="21" t="s">
        <v>28</v>
      </c>
    </row>
    <row r="9" spans="1:6" hidden="1">
      <c r="A9" s="11" t="s">
        <v>47</v>
      </c>
      <c r="B9" s="11" t="s">
        <v>48</v>
      </c>
      <c r="C9" s="11" t="s">
        <v>49</v>
      </c>
      <c r="D9" s="11">
        <v>200</v>
      </c>
      <c r="E9" s="11">
        <v>45</v>
      </c>
      <c r="F9" s="21" t="s">
        <v>28</v>
      </c>
    </row>
    <row r="10" spans="1:6">
      <c r="A10" s="11" t="s">
        <v>76</v>
      </c>
      <c r="B10" s="11" t="s">
        <v>48</v>
      </c>
      <c r="C10" s="11" t="s">
        <v>77</v>
      </c>
      <c r="D10" s="11">
        <v>250</v>
      </c>
      <c r="E10" s="11">
        <v>20</v>
      </c>
      <c r="F10" s="21" t="s">
        <v>28</v>
      </c>
    </row>
    <row r="11" spans="1:6">
      <c r="A11" s="17" t="s">
        <v>76</v>
      </c>
      <c r="B11" s="17" t="s">
        <v>48</v>
      </c>
      <c r="C11" s="17" t="s">
        <v>77</v>
      </c>
      <c r="D11" s="18">
        <v>300</v>
      </c>
      <c r="E11" s="18">
        <v>20</v>
      </c>
      <c r="F11" s="19" t="s">
        <v>28</v>
      </c>
    </row>
    <row r="12" spans="1:6" hidden="1">
      <c r="A12" s="11" t="s">
        <v>59</v>
      </c>
      <c r="B12" s="11" t="s">
        <v>60</v>
      </c>
      <c r="C12" s="11" t="s">
        <v>61</v>
      </c>
      <c r="D12" s="11">
        <v>500</v>
      </c>
      <c r="E12" s="11">
        <v>50</v>
      </c>
      <c r="F12" s="21" t="s">
        <v>28</v>
      </c>
    </row>
    <row r="13" spans="1:6" hidden="1">
      <c r="A13" s="11" t="s">
        <v>67</v>
      </c>
      <c r="B13" s="11" t="s">
        <v>91</v>
      </c>
      <c r="C13" s="11" t="s">
        <v>92</v>
      </c>
      <c r="D13" s="11">
        <v>700</v>
      </c>
      <c r="E13" s="11">
        <v>50</v>
      </c>
      <c r="F13" s="21" t="s">
        <v>28</v>
      </c>
    </row>
    <row r="14" spans="1:6" hidden="1">
      <c r="A14" s="11" t="s">
        <v>99</v>
      </c>
      <c r="B14" s="11" t="s">
        <v>42</v>
      </c>
      <c r="C14" s="11" t="s">
        <v>100</v>
      </c>
      <c r="D14" s="11">
        <v>800</v>
      </c>
      <c r="E14" s="11">
        <v>45</v>
      </c>
      <c r="F14" s="21" t="s">
        <v>28</v>
      </c>
    </row>
    <row r="15" spans="1:6" hidden="1">
      <c r="A15" s="11" t="s">
        <v>41</v>
      </c>
      <c r="B15" s="11" t="s">
        <v>42</v>
      </c>
      <c r="C15" s="11" t="s">
        <v>43</v>
      </c>
      <c r="D15" s="11">
        <v>900</v>
      </c>
      <c r="E15" s="11">
        <v>25</v>
      </c>
      <c r="F15" s="21" t="s">
        <v>28</v>
      </c>
    </row>
    <row r="16" spans="1:6" hidden="1">
      <c r="A16" s="11" t="s">
        <v>65</v>
      </c>
      <c r="B16" s="11" t="s">
        <v>26</v>
      </c>
      <c r="C16" s="11" t="s">
        <v>66</v>
      </c>
      <c r="D16" s="11">
        <v>950</v>
      </c>
      <c r="E16" s="11">
        <v>25</v>
      </c>
      <c r="F16" s="21" t="s">
        <v>28</v>
      </c>
    </row>
    <row r="17" spans="1:6" hidden="1">
      <c r="A17" s="11" t="s">
        <v>65</v>
      </c>
      <c r="B17" s="11" t="s">
        <v>26</v>
      </c>
      <c r="C17" s="11" t="s">
        <v>66</v>
      </c>
      <c r="D17" s="11">
        <v>950</v>
      </c>
      <c r="E17" s="11">
        <v>25</v>
      </c>
      <c r="F17" s="21" t="s">
        <v>28</v>
      </c>
    </row>
    <row r="18" spans="1:6">
      <c r="A18" s="11" t="s">
        <v>83</v>
      </c>
      <c r="B18" s="11" t="s">
        <v>26</v>
      </c>
      <c r="C18" s="11" t="s">
        <v>84</v>
      </c>
      <c r="D18" s="11">
        <v>980</v>
      </c>
      <c r="E18" s="11">
        <v>10</v>
      </c>
      <c r="F18" s="21" t="s">
        <v>28</v>
      </c>
    </row>
    <row r="19" spans="1:6" hidden="1">
      <c r="A19" s="11" t="s">
        <v>25</v>
      </c>
      <c r="B19" s="11" t="s">
        <v>26</v>
      </c>
      <c r="C19" s="11" t="s">
        <v>27</v>
      </c>
      <c r="D19" s="11">
        <v>1000</v>
      </c>
      <c r="E19" s="11">
        <v>30</v>
      </c>
      <c r="F19" s="21" t="s">
        <v>28</v>
      </c>
    </row>
    <row r="20" spans="1:6" hidden="1">
      <c r="A20" s="11" t="s">
        <v>51</v>
      </c>
      <c r="B20" s="11" t="s">
        <v>52</v>
      </c>
      <c r="C20" s="11" t="s">
        <v>53</v>
      </c>
      <c r="D20" s="11">
        <v>30</v>
      </c>
      <c r="E20" s="11">
        <v>5</v>
      </c>
      <c r="F20" s="21" t="s">
        <v>33</v>
      </c>
    </row>
    <row r="21" spans="1:6" hidden="1">
      <c r="A21" s="11" t="s">
        <v>112</v>
      </c>
      <c r="B21" s="11" t="s">
        <v>113</v>
      </c>
      <c r="C21" s="11" t="s">
        <v>114</v>
      </c>
      <c r="D21" s="11">
        <v>50</v>
      </c>
      <c r="E21" s="11">
        <v>50</v>
      </c>
      <c r="F21" s="21" t="s">
        <v>33</v>
      </c>
    </row>
    <row r="22" spans="1:6" hidden="1">
      <c r="A22" s="11" t="s">
        <v>105</v>
      </c>
      <c r="B22" s="11" t="s">
        <v>106</v>
      </c>
      <c r="C22" s="11" t="s">
        <v>107</v>
      </c>
      <c r="D22" s="11">
        <v>60</v>
      </c>
      <c r="E22" s="11">
        <v>30</v>
      </c>
      <c r="F22" s="21" t="s">
        <v>33</v>
      </c>
    </row>
    <row r="23" spans="1:6">
      <c r="A23" s="11" t="s">
        <v>30</v>
      </c>
      <c r="B23" s="11" t="s">
        <v>31</v>
      </c>
      <c r="C23" s="11" t="s">
        <v>32</v>
      </c>
      <c r="D23" s="11">
        <v>80</v>
      </c>
      <c r="E23" s="11">
        <v>15</v>
      </c>
      <c r="F23" s="21" t="s">
        <v>33</v>
      </c>
    </row>
    <row r="24" spans="1:6" hidden="1">
      <c r="A24" s="11" t="s">
        <v>68</v>
      </c>
      <c r="B24" s="11" t="s">
        <v>31</v>
      </c>
      <c r="C24" s="11" t="s">
        <v>53</v>
      </c>
      <c r="D24" s="11">
        <v>90</v>
      </c>
      <c r="E24" s="11">
        <v>40</v>
      </c>
      <c r="F24" s="21" t="s">
        <v>33</v>
      </c>
    </row>
    <row r="25" spans="1:6" hidden="1">
      <c r="A25" s="11" t="s">
        <v>101</v>
      </c>
      <c r="B25" s="11" t="s">
        <v>86</v>
      </c>
      <c r="C25" s="11" t="s">
        <v>102</v>
      </c>
      <c r="D25" s="11">
        <v>130</v>
      </c>
      <c r="E25" s="11">
        <v>25</v>
      </c>
      <c r="F25" s="21" t="s">
        <v>33</v>
      </c>
    </row>
    <row r="26" spans="1:6">
      <c r="A26" s="11" t="s">
        <v>85</v>
      </c>
      <c r="B26" s="11" t="s">
        <v>86</v>
      </c>
      <c r="C26" s="11" t="s">
        <v>87</v>
      </c>
      <c r="D26" s="11">
        <v>150</v>
      </c>
      <c r="E26" s="11">
        <v>15</v>
      </c>
      <c r="F26" s="21" t="s">
        <v>33</v>
      </c>
    </row>
    <row r="27" spans="1:6">
      <c r="A27" s="11" t="s">
        <v>72</v>
      </c>
      <c r="B27" s="11" t="s">
        <v>108</v>
      </c>
      <c r="C27" s="11" t="s">
        <v>109</v>
      </c>
      <c r="D27" s="11">
        <v>40</v>
      </c>
      <c r="E27" s="11">
        <v>10</v>
      </c>
      <c r="F27" s="21" t="s">
        <v>35</v>
      </c>
    </row>
    <row r="28" spans="1:6">
      <c r="A28" s="11" t="s">
        <v>93</v>
      </c>
      <c r="B28" s="11" t="s">
        <v>94</v>
      </c>
      <c r="C28" s="11" t="s">
        <v>95</v>
      </c>
      <c r="D28" s="11">
        <v>80</v>
      </c>
      <c r="E28" s="11">
        <v>20</v>
      </c>
      <c r="F28" s="21" t="s">
        <v>35</v>
      </c>
    </row>
    <row r="29" spans="1:6" hidden="1">
      <c r="A29" s="11" t="s">
        <v>56</v>
      </c>
      <c r="B29" s="11" t="s">
        <v>57</v>
      </c>
      <c r="C29" s="11" t="s">
        <v>58</v>
      </c>
      <c r="D29" s="11">
        <v>90</v>
      </c>
      <c r="E29" s="11">
        <v>35</v>
      </c>
      <c r="F29" s="21" t="s">
        <v>35</v>
      </c>
    </row>
    <row r="30" spans="1:6" hidden="1">
      <c r="A30" s="11" t="s">
        <v>70</v>
      </c>
      <c r="B30" s="11" t="s">
        <v>38</v>
      </c>
      <c r="C30" s="11" t="s">
        <v>71</v>
      </c>
      <c r="D30" s="11">
        <v>120</v>
      </c>
      <c r="E30" s="11">
        <v>35</v>
      </c>
      <c r="F30" s="21" t="s">
        <v>35</v>
      </c>
    </row>
    <row r="31" spans="1:6" hidden="1">
      <c r="A31" s="11" t="s">
        <v>37</v>
      </c>
      <c r="B31" s="11" t="s">
        <v>38</v>
      </c>
      <c r="C31" s="11" t="s">
        <v>39</v>
      </c>
      <c r="D31" s="11">
        <v>130</v>
      </c>
      <c r="E31" s="11">
        <v>40</v>
      </c>
      <c r="F31" s="21" t="s">
        <v>35</v>
      </c>
    </row>
    <row r="32" spans="1:6" hidden="1">
      <c r="A32" s="11" t="s">
        <v>103</v>
      </c>
      <c r="B32" s="11" t="s">
        <v>57</v>
      </c>
      <c r="C32" s="11" t="s">
        <v>104</v>
      </c>
      <c r="D32" s="11">
        <v>400</v>
      </c>
      <c r="E32" s="11">
        <v>40</v>
      </c>
      <c r="F32" s="21" t="s">
        <v>35</v>
      </c>
    </row>
    <row r="33" spans="1:6">
      <c r="A33" s="11" t="s">
        <v>44</v>
      </c>
      <c r="B33" s="11" t="s">
        <v>45</v>
      </c>
      <c r="C33" s="11" t="s">
        <v>46</v>
      </c>
      <c r="D33" s="11">
        <v>70</v>
      </c>
      <c r="E33" s="11">
        <v>20</v>
      </c>
      <c r="F33" s="21" t="s">
        <v>36</v>
      </c>
    </row>
    <row r="34" spans="1:6">
      <c r="A34" s="11" t="s">
        <v>62</v>
      </c>
      <c r="B34" s="11" t="s">
        <v>63</v>
      </c>
      <c r="C34" s="11" t="s">
        <v>64</v>
      </c>
      <c r="D34" s="11">
        <v>130</v>
      </c>
      <c r="E34" s="11">
        <v>10</v>
      </c>
      <c r="F34" s="21" t="s">
        <v>36</v>
      </c>
    </row>
    <row r="35" spans="1:6">
      <c r="A35" s="11" t="s">
        <v>88</v>
      </c>
      <c r="B35" s="11" t="s">
        <v>89</v>
      </c>
      <c r="C35" s="11" t="s">
        <v>90</v>
      </c>
      <c r="D35" s="11">
        <v>200</v>
      </c>
      <c r="E35" s="11">
        <v>10</v>
      </c>
      <c r="F35" s="21" t="s">
        <v>36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H18" sqref="H18"/>
    </sheetView>
  </sheetViews>
  <sheetFormatPr defaultRowHeight="13.2"/>
  <cols>
    <col min="1" max="1" width="14.109375" customWidth="1"/>
    <col min="2" max="2" width="14.6640625" customWidth="1"/>
    <col min="3" max="3" width="14.109375" customWidth="1"/>
    <col min="4" max="4" width="7.44140625" customWidth="1"/>
    <col min="5" max="5" width="12.21875" bestFit="1" customWidth="1"/>
    <col min="6" max="6" width="12" bestFit="1" customWidth="1"/>
    <col min="7" max="7" width="5.77734375" customWidth="1"/>
    <col min="8" max="8" width="13.6640625" bestFit="1" customWidth="1"/>
    <col min="9" max="10" width="11.109375" bestFit="1" customWidth="1"/>
    <col min="11" max="11" width="5.88671875" customWidth="1"/>
    <col min="12" max="12" width="6.44140625" customWidth="1"/>
    <col min="13" max="13" width="10.21875" bestFit="1" customWidth="1"/>
    <col min="14" max="14" width="9.5546875" bestFit="1" customWidth="1"/>
    <col min="15" max="15" width="10.77734375" bestFit="1" customWidth="1"/>
    <col min="16" max="16" width="10.44140625" bestFit="1" customWidth="1"/>
    <col min="17" max="17" width="8.6640625" customWidth="1"/>
    <col min="18" max="18" width="10.21875" bestFit="1" customWidth="1"/>
    <col min="19" max="19" width="5.77734375" customWidth="1"/>
    <col min="20" max="20" width="7" customWidth="1"/>
    <col min="21" max="21" width="6.109375" customWidth="1"/>
    <col min="22" max="22" width="6.33203125" customWidth="1"/>
    <col min="23" max="23" width="10.33203125" bestFit="1" customWidth="1"/>
  </cols>
  <sheetData>
    <row r="1" spans="1:3">
      <c r="A1" s="35" t="s">
        <v>20</v>
      </c>
      <c r="B1" s="36" t="s">
        <v>26</v>
      </c>
    </row>
    <row r="3" spans="1:3">
      <c r="A3" s="23" t="s">
        <v>117</v>
      </c>
      <c r="B3" s="22" t="s">
        <v>119</v>
      </c>
      <c r="C3" s="27" t="s">
        <v>120</v>
      </c>
    </row>
    <row r="4" spans="1:3">
      <c r="A4" s="24" t="s">
        <v>84</v>
      </c>
      <c r="B4" s="28">
        <v>980</v>
      </c>
      <c r="C4" s="29">
        <v>10</v>
      </c>
    </row>
    <row r="5" spans="1:3">
      <c r="A5" s="41" t="s">
        <v>28</v>
      </c>
      <c r="B5" s="30">
        <v>980</v>
      </c>
      <c r="C5" s="31">
        <v>10</v>
      </c>
    </row>
    <row r="6" spans="1:3">
      <c r="A6" s="25" t="s">
        <v>27</v>
      </c>
      <c r="B6" s="30">
        <v>1000</v>
      </c>
      <c r="C6" s="31">
        <v>30</v>
      </c>
    </row>
    <row r="7" spans="1:3">
      <c r="A7" s="41" t="s">
        <v>28</v>
      </c>
      <c r="B7" s="30">
        <v>1000</v>
      </c>
      <c r="C7" s="31">
        <v>30</v>
      </c>
    </row>
    <row r="8" spans="1:3">
      <c r="A8" s="25" t="s">
        <v>66</v>
      </c>
      <c r="B8" s="30">
        <v>1900</v>
      </c>
      <c r="C8" s="31">
        <v>50</v>
      </c>
    </row>
    <row r="9" spans="1:3">
      <c r="A9" s="41" t="s">
        <v>28</v>
      </c>
      <c r="B9" s="30">
        <v>1900</v>
      </c>
      <c r="C9" s="31">
        <v>50</v>
      </c>
    </row>
    <row r="10" spans="1:3">
      <c r="A10" s="26" t="s">
        <v>118</v>
      </c>
      <c r="B10" s="32">
        <v>3880</v>
      </c>
      <c r="C10" s="33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J22" sqref="J22"/>
    </sheetView>
  </sheetViews>
  <sheetFormatPr defaultRowHeight="13.2"/>
  <cols>
    <col min="1" max="1" width="13.6640625" customWidth="1"/>
    <col min="2" max="2" width="15.5546875" customWidth="1"/>
    <col min="3" max="3" width="14.109375" customWidth="1"/>
    <col min="4" max="4" width="5" customWidth="1"/>
    <col min="5" max="5" width="5.109375" customWidth="1"/>
    <col min="6" max="6" width="5.6640625" customWidth="1"/>
    <col min="7" max="7" width="8.109375" customWidth="1"/>
    <col min="8" max="8" width="5" customWidth="1"/>
    <col min="9" max="9" width="4.88671875" customWidth="1"/>
    <col min="10" max="10" width="6.88671875" customWidth="1"/>
    <col min="11" max="11" width="6.6640625" customWidth="1"/>
    <col min="12" max="12" width="7.88671875" customWidth="1"/>
    <col min="13" max="13" width="5" customWidth="1"/>
    <col min="14" max="14" width="6.88671875" customWidth="1"/>
    <col min="15" max="15" width="6.33203125" customWidth="1"/>
    <col min="16" max="16" width="5.44140625" customWidth="1"/>
    <col min="17" max="17" width="9.5546875" customWidth="1"/>
    <col min="18" max="18" width="4.5546875" customWidth="1"/>
    <col min="19" max="19" width="5.5546875" customWidth="1"/>
    <col min="20" max="20" width="5" customWidth="1"/>
    <col min="21" max="21" width="10" customWidth="1"/>
    <col min="22" max="22" width="6.5546875" customWidth="1"/>
    <col min="23" max="23" width="9.5546875" customWidth="1"/>
    <col min="24" max="24" width="8.109375" customWidth="1"/>
    <col min="25" max="25" width="9.44140625" customWidth="1"/>
    <col min="26" max="26" width="8.5546875" customWidth="1"/>
    <col min="27" max="27" width="5.21875" customWidth="1"/>
    <col min="28" max="28" width="9.88671875" customWidth="1"/>
    <col min="29" max="29" width="6.77734375" customWidth="1"/>
    <col min="30" max="30" width="6.5546875" customWidth="1"/>
    <col min="31" max="31" width="4.6640625" customWidth="1"/>
    <col min="32" max="32" width="14.109375" customWidth="1"/>
    <col min="33" max="33" width="5.5546875" customWidth="1"/>
    <col min="34" max="34" width="5" customWidth="1"/>
    <col min="35" max="35" width="5.109375" customWidth="1"/>
    <col min="36" max="36" width="5.6640625" customWidth="1"/>
    <col min="37" max="37" width="8.109375" customWidth="1"/>
    <col min="38" max="38" width="4" customWidth="1"/>
    <col min="39" max="39" width="4.88671875" customWidth="1"/>
    <col min="40" max="40" width="6.88671875" customWidth="1"/>
    <col min="41" max="41" width="6.6640625" customWidth="1"/>
    <col min="42" max="42" width="7.88671875" customWidth="1"/>
    <col min="43" max="43" width="3.44140625" customWidth="1"/>
    <col min="44" max="44" width="6.88671875" customWidth="1"/>
    <col min="45" max="45" width="6.33203125" customWidth="1"/>
    <col min="46" max="46" width="5.44140625" customWidth="1"/>
    <col min="47" max="47" width="9.5546875" bestFit="1" customWidth="1"/>
    <col min="48" max="48" width="4.5546875" customWidth="1"/>
    <col min="49" max="49" width="5.5546875" customWidth="1"/>
    <col min="50" max="50" width="5" customWidth="1"/>
    <col min="51" max="51" width="10" bestFit="1" customWidth="1"/>
    <col min="52" max="52" width="6.5546875" customWidth="1"/>
    <col min="53" max="53" width="9.5546875" bestFit="1" customWidth="1"/>
    <col min="54" max="54" width="8.109375" customWidth="1"/>
    <col min="55" max="55" width="9.44140625" bestFit="1" customWidth="1"/>
    <col min="56" max="56" width="8.5546875" customWidth="1"/>
    <col min="57" max="57" width="5.21875" customWidth="1"/>
    <col min="58" max="58" width="9.88671875" bestFit="1" customWidth="1"/>
    <col min="59" max="59" width="6.77734375" customWidth="1"/>
    <col min="60" max="60" width="6.5546875" customWidth="1"/>
    <col min="61" max="61" width="4.6640625" customWidth="1"/>
    <col min="62" max="62" width="19.109375" bestFit="1" customWidth="1"/>
    <col min="63" max="63" width="18.5546875" bestFit="1" customWidth="1"/>
  </cols>
  <sheetData>
    <row r="1" spans="1:3">
      <c r="A1" s="35" t="s">
        <v>24</v>
      </c>
      <c r="B1" s="36" t="s">
        <v>122</v>
      </c>
    </row>
    <row r="3" spans="1:3">
      <c r="A3" s="23" t="s">
        <v>117</v>
      </c>
      <c r="B3" s="22" t="s">
        <v>119</v>
      </c>
      <c r="C3" s="27" t="s">
        <v>120</v>
      </c>
    </row>
    <row r="4" spans="1:3">
      <c r="A4" s="24" t="s">
        <v>91</v>
      </c>
      <c r="B4" s="28">
        <v>700</v>
      </c>
      <c r="C4" s="29">
        <v>50</v>
      </c>
    </row>
    <row r="5" spans="1:3">
      <c r="A5" s="25" t="s">
        <v>97</v>
      </c>
      <c r="B5" s="30">
        <v>280</v>
      </c>
      <c r="C5" s="31">
        <v>35</v>
      </c>
    </row>
    <row r="6" spans="1:3">
      <c r="A6" s="25" t="s">
        <v>48</v>
      </c>
      <c r="B6" s="30">
        <v>750</v>
      </c>
      <c r="C6" s="31">
        <v>85</v>
      </c>
    </row>
    <row r="7" spans="1:3">
      <c r="A7" s="25" t="s">
        <v>26</v>
      </c>
      <c r="B7" s="30">
        <v>3880</v>
      </c>
      <c r="C7" s="31">
        <v>90</v>
      </c>
    </row>
    <row r="8" spans="1:3">
      <c r="A8" s="25" t="s">
        <v>79</v>
      </c>
      <c r="B8" s="30">
        <v>100</v>
      </c>
      <c r="C8" s="31">
        <v>70</v>
      </c>
    </row>
    <row r="9" spans="1:3">
      <c r="A9" s="25" t="s">
        <v>42</v>
      </c>
      <c r="B9" s="30">
        <v>1700</v>
      </c>
      <c r="C9" s="31">
        <v>70</v>
      </c>
    </row>
    <row r="10" spans="1:3">
      <c r="A10" s="25" t="s">
        <v>74</v>
      </c>
      <c r="B10" s="30">
        <v>310</v>
      </c>
      <c r="C10" s="31">
        <v>30</v>
      </c>
    </row>
    <row r="11" spans="1:3">
      <c r="A11" s="25" t="s">
        <v>60</v>
      </c>
      <c r="B11" s="30">
        <v>500</v>
      </c>
      <c r="C11" s="31">
        <v>50</v>
      </c>
    </row>
    <row r="12" spans="1:3">
      <c r="A12" s="25" t="s">
        <v>115</v>
      </c>
      <c r="B12" s="30">
        <v>100</v>
      </c>
      <c r="C12" s="31">
        <v>20</v>
      </c>
    </row>
    <row r="13" spans="1:3">
      <c r="A13" s="26" t="s">
        <v>118</v>
      </c>
      <c r="B13" s="32">
        <v>8320</v>
      </c>
      <c r="C13" s="33">
        <v>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activeCell="M29" sqref="M29"/>
    </sheetView>
  </sheetViews>
  <sheetFormatPr defaultRowHeight="13.2"/>
  <cols>
    <col min="1" max="1" width="13.6640625" customWidth="1"/>
    <col min="2" max="2" width="14.6640625" customWidth="1"/>
    <col min="3" max="3" width="14.109375" bestFit="1" customWidth="1"/>
    <col min="4" max="4" width="12.33203125" bestFit="1" customWidth="1"/>
    <col min="5" max="5" width="4" bestFit="1" customWidth="1"/>
    <col min="6" max="7" width="5" bestFit="1" customWidth="1"/>
    <col min="8" max="9" width="4" bestFit="1" customWidth="1"/>
    <col min="10" max="11" width="5" bestFit="1" customWidth="1"/>
    <col min="12" max="12" width="10.33203125" bestFit="1" customWidth="1"/>
  </cols>
  <sheetData>
    <row r="1" spans="1:4">
      <c r="A1" s="35" t="s">
        <v>24</v>
      </c>
      <c r="B1" s="36" t="s">
        <v>121</v>
      </c>
    </row>
    <row r="3" spans="1:4">
      <c r="A3" s="51" t="s">
        <v>117</v>
      </c>
      <c r="B3" s="52" t="s">
        <v>119</v>
      </c>
      <c r="C3" s="52" t="s">
        <v>120</v>
      </c>
      <c r="D3" s="53" t="s">
        <v>123</v>
      </c>
    </row>
    <row r="4" spans="1:4">
      <c r="A4" s="54" t="s">
        <v>45</v>
      </c>
      <c r="B4" s="55">
        <v>70</v>
      </c>
      <c r="C4" s="55">
        <v>20</v>
      </c>
      <c r="D4" s="56">
        <f>B4/C4</f>
        <v>3.5</v>
      </c>
    </row>
    <row r="5" spans="1:4">
      <c r="A5" s="54" t="s">
        <v>57</v>
      </c>
      <c r="B5" s="55">
        <v>490</v>
      </c>
      <c r="C5" s="55">
        <v>75</v>
      </c>
      <c r="D5" s="56">
        <f t="shared" ref="D5:D25" si="0">B5/C5</f>
        <v>6.5333333333333332</v>
      </c>
    </row>
    <row r="6" spans="1:4">
      <c r="A6" s="54" t="s">
        <v>91</v>
      </c>
      <c r="B6" s="55">
        <v>700</v>
      </c>
      <c r="C6" s="55">
        <v>50</v>
      </c>
      <c r="D6" s="56">
        <f t="shared" si="0"/>
        <v>14</v>
      </c>
    </row>
    <row r="7" spans="1:4">
      <c r="A7" s="54" t="s">
        <v>89</v>
      </c>
      <c r="B7" s="55">
        <v>200</v>
      </c>
      <c r="C7" s="55">
        <v>10</v>
      </c>
      <c r="D7" s="56">
        <f t="shared" si="0"/>
        <v>20</v>
      </c>
    </row>
    <row r="8" spans="1:4">
      <c r="A8" s="54" t="s">
        <v>38</v>
      </c>
      <c r="B8" s="55">
        <v>250</v>
      </c>
      <c r="C8" s="55">
        <v>75</v>
      </c>
      <c r="D8" s="56">
        <f t="shared" si="0"/>
        <v>3.3333333333333335</v>
      </c>
    </row>
    <row r="9" spans="1:4">
      <c r="A9" s="54" t="s">
        <v>106</v>
      </c>
      <c r="B9" s="55">
        <v>60</v>
      </c>
      <c r="C9" s="55">
        <v>30</v>
      </c>
      <c r="D9" s="56">
        <f t="shared" si="0"/>
        <v>2</v>
      </c>
    </row>
    <row r="10" spans="1:4">
      <c r="A10" s="54" t="s">
        <v>97</v>
      </c>
      <c r="B10" s="55">
        <v>280</v>
      </c>
      <c r="C10" s="55">
        <v>35</v>
      </c>
      <c r="D10" s="56">
        <f t="shared" si="0"/>
        <v>8</v>
      </c>
    </row>
    <row r="11" spans="1:4">
      <c r="A11" s="54" t="s">
        <v>48</v>
      </c>
      <c r="B11" s="55">
        <v>750</v>
      </c>
      <c r="C11" s="55">
        <v>85</v>
      </c>
      <c r="D11" s="56">
        <f t="shared" si="0"/>
        <v>8.8235294117647065</v>
      </c>
    </row>
    <row r="12" spans="1:4">
      <c r="A12" s="54" t="s">
        <v>63</v>
      </c>
      <c r="B12" s="55">
        <v>130</v>
      </c>
      <c r="C12" s="55">
        <v>10</v>
      </c>
      <c r="D12" s="56">
        <f t="shared" si="0"/>
        <v>13</v>
      </c>
    </row>
    <row r="13" spans="1:4">
      <c r="A13" s="54" t="s">
        <v>113</v>
      </c>
      <c r="B13" s="55">
        <v>50</v>
      </c>
      <c r="C13" s="55">
        <v>50</v>
      </c>
      <c r="D13" s="56">
        <f t="shared" si="0"/>
        <v>1</v>
      </c>
    </row>
    <row r="14" spans="1:4">
      <c r="A14" s="54" t="s">
        <v>26</v>
      </c>
      <c r="B14" s="55">
        <v>3880</v>
      </c>
      <c r="C14" s="55">
        <v>90</v>
      </c>
      <c r="D14" s="56">
        <f t="shared" si="0"/>
        <v>43.111111111111114</v>
      </c>
    </row>
    <row r="15" spans="1:4">
      <c r="A15" s="54" t="s">
        <v>79</v>
      </c>
      <c r="B15" s="55">
        <v>100</v>
      </c>
      <c r="C15" s="55">
        <v>70</v>
      </c>
      <c r="D15" s="56">
        <f t="shared" si="0"/>
        <v>1.4285714285714286</v>
      </c>
    </row>
    <row r="16" spans="1:4">
      <c r="A16" s="54" t="s">
        <v>94</v>
      </c>
      <c r="B16" s="55">
        <v>80</v>
      </c>
      <c r="C16" s="55">
        <v>20</v>
      </c>
      <c r="D16" s="56">
        <f t="shared" si="0"/>
        <v>4</v>
      </c>
    </row>
    <row r="17" spans="1:4">
      <c r="A17" s="54" t="s">
        <v>42</v>
      </c>
      <c r="B17" s="55">
        <v>1700</v>
      </c>
      <c r="C17" s="55">
        <v>70</v>
      </c>
      <c r="D17" s="56">
        <f t="shared" si="0"/>
        <v>24.285714285714285</v>
      </c>
    </row>
    <row r="18" spans="1:4">
      <c r="A18" s="54" t="s">
        <v>74</v>
      </c>
      <c r="B18" s="55">
        <v>310</v>
      </c>
      <c r="C18" s="55">
        <v>30</v>
      </c>
      <c r="D18" s="56">
        <f t="shared" si="0"/>
        <v>10.333333333333334</v>
      </c>
    </row>
    <row r="19" spans="1:4">
      <c r="A19" s="54" t="s">
        <v>31</v>
      </c>
      <c r="B19" s="55">
        <v>170</v>
      </c>
      <c r="C19" s="55">
        <v>55</v>
      </c>
      <c r="D19" s="56">
        <f t="shared" si="0"/>
        <v>3.0909090909090908</v>
      </c>
    </row>
    <row r="20" spans="1:4">
      <c r="A20" s="54" t="s">
        <v>86</v>
      </c>
      <c r="B20" s="55">
        <v>280</v>
      </c>
      <c r="C20" s="55">
        <v>40</v>
      </c>
      <c r="D20" s="56">
        <f t="shared" si="0"/>
        <v>7</v>
      </c>
    </row>
    <row r="21" spans="1:4">
      <c r="A21" s="54" t="s">
        <v>60</v>
      </c>
      <c r="B21" s="55">
        <v>500</v>
      </c>
      <c r="C21" s="55">
        <v>50</v>
      </c>
      <c r="D21" s="56">
        <f t="shared" si="0"/>
        <v>10</v>
      </c>
    </row>
    <row r="22" spans="1:4">
      <c r="A22" s="54" t="s">
        <v>108</v>
      </c>
      <c r="B22" s="55">
        <v>40</v>
      </c>
      <c r="C22" s="55">
        <v>10</v>
      </c>
      <c r="D22" s="56">
        <f t="shared" si="0"/>
        <v>4</v>
      </c>
    </row>
    <row r="23" spans="1:4">
      <c r="A23" s="54" t="s">
        <v>52</v>
      </c>
      <c r="B23" s="55">
        <v>30</v>
      </c>
      <c r="C23" s="55">
        <v>5</v>
      </c>
      <c r="D23" s="56">
        <f t="shared" si="0"/>
        <v>6</v>
      </c>
    </row>
    <row r="24" spans="1:4">
      <c r="A24" s="54" t="s">
        <v>115</v>
      </c>
      <c r="B24" s="55">
        <v>100</v>
      </c>
      <c r="C24" s="55">
        <v>20</v>
      </c>
      <c r="D24" s="56">
        <f t="shared" si="0"/>
        <v>5</v>
      </c>
    </row>
    <row r="25" spans="1:4">
      <c r="A25" s="54" t="s">
        <v>118</v>
      </c>
      <c r="B25" s="55">
        <v>10170</v>
      </c>
      <c r="C25" s="55">
        <v>900</v>
      </c>
      <c r="D25" s="56">
        <f t="shared" si="0"/>
        <v>11.3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I34" sqref="I34"/>
    </sheetView>
  </sheetViews>
  <sheetFormatPr defaultRowHeight="13.2"/>
  <cols>
    <col min="1" max="1" width="12.44140625" customWidth="1"/>
    <col min="2" max="2" width="14.6640625" bestFit="1" customWidth="1"/>
    <col min="3" max="3" width="14.109375" bestFit="1" customWidth="1"/>
  </cols>
  <sheetData>
    <row r="1" spans="1:2">
      <c r="A1" s="35" t="s">
        <v>23</v>
      </c>
      <c r="B1" s="36" t="s">
        <v>121</v>
      </c>
    </row>
    <row r="3" spans="1:2">
      <c r="A3" s="23" t="s">
        <v>117</v>
      </c>
      <c r="B3" s="37" t="s">
        <v>119</v>
      </c>
    </row>
    <row r="4" spans="1:2">
      <c r="A4" s="24" t="s">
        <v>34</v>
      </c>
      <c r="B4" s="38">
        <v>200</v>
      </c>
    </row>
    <row r="5" spans="1:2">
      <c r="A5" s="25" t="s">
        <v>28</v>
      </c>
      <c r="B5" s="39">
        <v>8120</v>
      </c>
    </row>
    <row r="6" spans="1:2">
      <c r="A6" s="25" t="s">
        <v>33</v>
      </c>
      <c r="B6" s="39">
        <v>590</v>
      </c>
    </row>
    <row r="7" spans="1:2">
      <c r="A7" s="25" t="s">
        <v>35</v>
      </c>
      <c r="B7" s="39">
        <v>860</v>
      </c>
    </row>
    <row r="8" spans="1:2">
      <c r="A8" s="25" t="s">
        <v>36</v>
      </c>
      <c r="B8" s="39">
        <v>400</v>
      </c>
    </row>
    <row r="9" spans="1:2">
      <c r="A9" s="26" t="s">
        <v>118</v>
      </c>
      <c r="B9" s="40">
        <v>10170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selection activeCell="I28" sqref="I28"/>
    </sheetView>
  </sheetViews>
  <sheetFormatPr defaultRowHeight="13.2"/>
  <cols>
    <col min="1" max="1" width="14.77734375" bestFit="1" customWidth="1"/>
    <col min="2" max="2" width="18" bestFit="1" customWidth="1"/>
    <col min="3" max="3" width="16.21875" bestFit="1" customWidth="1"/>
    <col min="4" max="4" width="12.77734375" bestFit="1" customWidth="1"/>
    <col min="5" max="5" width="12.88671875" bestFit="1" customWidth="1"/>
    <col min="6" max="6" width="13.44140625" bestFit="1" customWidth="1"/>
  </cols>
  <sheetData>
    <row r="1" spans="1:6">
      <c r="A1" s="10" t="s">
        <v>19</v>
      </c>
      <c r="B1" s="10" t="s">
        <v>20</v>
      </c>
      <c r="C1" s="10" t="s">
        <v>21</v>
      </c>
      <c r="D1" s="10" t="s">
        <v>22</v>
      </c>
      <c r="E1" s="10" t="s">
        <v>23</v>
      </c>
      <c r="F1" s="20" t="s">
        <v>24</v>
      </c>
    </row>
    <row r="2" spans="1:6">
      <c r="A2" s="46" t="s">
        <v>78</v>
      </c>
      <c r="B2" s="46" t="s">
        <v>79</v>
      </c>
      <c r="C2" s="46" t="s">
        <v>80</v>
      </c>
      <c r="D2" s="46">
        <v>50</v>
      </c>
      <c r="E2" s="46">
        <v>35</v>
      </c>
      <c r="F2" s="47" t="s">
        <v>34</v>
      </c>
    </row>
    <row r="3" spans="1:6">
      <c r="A3" s="48" t="s">
        <v>78</v>
      </c>
      <c r="B3" s="48" t="s">
        <v>79</v>
      </c>
      <c r="C3" s="48" t="s">
        <v>80</v>
      </c>
      <c r="D3" s="49">
        <v>50</v>
      </c>
      <c r="E3" s="49">
        <v>35</v>
      </c>
      <c r="F3" s="50" t="s">
        <v>34</v>
      </c>
    </row>
    <row r="4" spans="1:6">
      <c r="A4" s="46" t="s">
        <v>69</v>
      </c>
      <c r="B4" s="46" t="s">
        <v>115</v>
      </c>
      <c r="C4" s="46" t="s">
        <v>116</v>
      </c>
      <c r="D4" s="46">
        <v>100</v>
      </c>
      <c r="E4" s="46">
        <v>20</v>
      </c>
      <c r="F4" s="47" t="s">
        <v>34</v>
      </c>
    </row>
    <row r="5" spans="1:6">
      <c r="A5" s="46" t="s">
        <v>110</v>
      </c>
      <c r="B5" s="46" t="s">
        <v>97</v>
      </c>
      <c r="C5" s="46" t="s">
        <v>111</v>
      </c>
      <c r="D5" s="46">
        <v>130</v>
      </c>
      <c r="E5" s="46">
        <v>5</v>
      </c>
      <c r="F5" s="47" t="s">
        <v>28</v>
      </c>
    </row>
    <row r="6" spans="1:6">
      <c r="A6" s="46" t="s">
        <v>73</v>
      </c>
      <c r="B6" s="46" t="s">
        <v>74</v>
      </c>
      <c r="C6" s="46" t="s">
        <v>75</v>
      </c>
      <c r="D6" s="46">
        <v>150</v>
      </c>
      <c r="E6" s="46">
        <v>15</v>
      </c>
      <c r="F6" s="47" t="s">
        <v>28</v>
      </c>
    </row>
    <row r="7" spans="1:6">
      <c r="A7" s="46" t="s">
        <v>96</v>
      </c>
      <c r="B7" s="46" t="s">
        <v>97</v>
      </c>
      <c r="C7" s="46" t="s">
        <v>98</v>
      </c>
      <c r="D7" s="46">
        <v>150</v>
      </c>
      <c r="E7" s="46">
        <v>30</v>
      </c>
      <c r="F7" s="47" t="s">
        <v>28</v>
      </c>
    </row>
    <row r="8" spans="1:6">
      <c r="A8" s="46" t="s">
        <v>81</v>
      </c>
      <c r="B8" s="46" t="s">
        <v>74</v>
      </c>
      <c r="C8" s="46" t="s">
        <v>82</v>
      </c>
      <c r="D8" s="46">
        <v>160</v>
      </c>
      <c r="E8" s="46">
        <v>15</v>
      </c>
      <c r="F8" s="47" t="s">
        <v>28</v>
      </c>
    </row>
    <row r="9" spans="1:6">
      <c r="A9" s="46" t="s">
        <v>47</v>
      </c>
      <c r="B9" s="46" t="s">
        <v>48</v>
      </c>
      <c r="C9" s="46" t="s">
        <v>49</v>
      </c>
      <c r="D9" s="46">
        <v>200</v>
      </c>
      <c r="E9" s="46">
        <v>45</v>
      </c>
      <c r="F9" s="47" t="s">
        <v>28</v>
      </c>
    </row>
    <row r="10" spans="1:6">
      <c r="A10" s="46" t="s">
        <v>76</v>
      </c>
      <c r="B10" s="46" t="s">
        <v>48</v>
      </c>
      <c r="C10" s="46" t="s">
        <v>77</v>
      </c>
      <c r="D10" s="46">
        <v>250</v>
      </c>
      <c r="E10" s="46">
        <v>20</v>
      </c>
      <c r="F10" s="47" t="s">
        <v>28</v>
      </c>
    </row>
    <row r="11" spans="1:6">
      <c r="A11" s="48" t="s">
        <v>76</v>
      </c>
      <c r="B11" s="48" t="s">
        <v>48</v>
      </c>
      <c r="C11" s="48" t="s">
        <v>77</v>
      </c>
      <c r="D11" s="49">
        <v>300</v>
      </c>
      <c r="E11" s="49">
        <v>20</v>
      </c>
      <c r="F11" s="50" t="s">
        <v>28</v>
      </c>
    </row>
    <row r="12" spans="1:6">
      <c r="A12" s="46" t="s">
        <v>59</v>
      </c>
      <c r="B12" s="46" t="s">
        <v>60</v>
      </c>
      <c r="C12" s="46" t="s">
        <v>61</v>
      </c>
      <c r="D12" s="46">
        <v>500</v>
      </c>
      <c r="E12" s="46">
        <v>50</v>
      </c>
      <c r="F12" s="47" t="s">
        <v>28</v>
      </c>
    </row>
    <row r="13" spans="1:6">
      <c r="A13" s="46" t="s">
        <v>67</v>
      </c>
      <c r="B13" s="46" t="s">
        <v>91</v>
      </c>
      <c r="C13" s="46" t="s">
        <v>92</v>
      </c>
      <c r="D13" s="46">
        <v>700</v>
      </c>
      <c r="E13" s="46">
        <v>50</v>
      </c>
      <c r="F13" s="47" t="s">
        <v>28</v>
      </c>
    </row>
    <row r="14" spans="1:6">
      <c r="A14" s="46" t="s">
        <v>99</v>
      </c>
      <c r="B14" s="46" t="s">
        <v>42</v>
      </c>
      <c r="C14" s="46" t="s">
        <v>100</v>
      </c>
      <c r="D14" s="46">
        <v>800</v>
      </c>
      <c r="E14" s="46">
        <v>45</v>
      </c>
      <c r="F14" s="47" t="s">
        <v>28</v>
      </c>
    </row>
    <row r="15" spans="1:6">
      <c r="A15" s="46" t="s">
        <v>41</v>
      </c>
      <c r="B15" s="46" t="s">
        <v>42</v>
      </c>
      <c r="C15" s="46" t="s">
        <v>43</v>
      </c>
      <c r="D15" s="46">
        <v>900</v>
      </c>
      <c r="E15" s="46">
        <v>25</v>
      </c>
      <c r="F15" s="47" t="s">
        <v>28</v>
      </c>
    </row>
    <row r="16" spans="1:6">
      <c r="A16" s="46" t="s">
        <v>65</v>
      </c>
      <c r="B16" s="46" t="s">
        <v>26</v>
      </c>
      <c r="C16" s="46" t="s">
        <v>66</v>
      </c>
      <c r="D16" s="46">
        <v>950</v>
      </c>
      <c r="E16" s="46">
        <v>25</v>
      </c>
      <c r="F16" s="47" t="s">
        <v>28</v>
      </c>
    </row>
    <row r="17" spans="1:6">
      <c r="A17" s="46" t="s">
        <v>65</v>
      </c>
      <c r="B17" s="46" t="s">
        <v>26</v>
      </c>
      <c r="C17" s="46" t="s">
        <v>66</v>
      </c>
      <c r="D17" s="46">
        <v>950</v>
      </c>
      <c r="E17" s="46">
        <v>25</v>
      </c>
      <c r="F17" s="47" t="s">
        <v>28</v>
      </c>
    </row>
    <row r="18" spans="1:6">
      <c r="A18" s="46" t="s">
        <v>83</v>
      </c>
      <c r="B18" s="46" t="s">
        <v>26</v>
      </c>
      <c r="C18" s="46" t="s">
        <v>84</v>
      </c>
      <c r="D18" s="46">
        <v>980</v>
      </c>
      <c r="E18" s="46">
        <v>10</v>
      </c>
      <c r="F18" s="47" t="s">
        <v>28</v>
      </c>
    </row>
    <row r="19" spans="1:6">
      <c r="A19" s="46" t="s">
        <v>25</v>
      </c>
      <c r="B19" s="46" t="s">
        <v>26</v>
      </c>
      <c r="C19" s="46" t="s">
        <v>27</v>
      </c>
      <c r="D19" s="46">
        <v>1000</v>
      </c>
      <c r="E19" s="46">
        <v>30</v>
      </c>
      <c r="F19" s="47" t="s">
        <v>28</v>
      </c>
    </row>
    <row r="20" spans="1:6">
      <c r="A20" s="46" t="s">
        <v>51</v>
      </c>
      <c r="B20" s="46" t="s">
        <v>52</v>
      </c>
      <c r="C20" s="46" t="s">
        <v>53</v>
      </c>
      <c r="D20" s="46">
        <v>30</v>
      </c>
      <c r="E20" s="46">
        <v>5</v>
      </c>
      <c r="F20" s="47" t="s">
        <v>33</v>
      </c>
    </row>
    <row r="21" spans="1:6">
      <c r="A21" s="46" t="s">
        <v>112</v>
      </c>
      <c r="B21" s="46" t="s">
        <v>113</v>
      </c>
      <c r="C21" s="46" t="s">
        <v>114</v>
      </c>
      <c r="D21" s="46">
        <v>50</v>
      </c>
      <c r="E21" s="46">
        <v>50</v>
      </c>
      <c r="F21" s="47" t="s">
        <v>33</v>
      </c>
    </row>
    <row r="22" spans="1:6">
      <c r="A22" s="46" t="s">
        <v>105</v>
      </c>
      <c r="B22" s="46" t="s">
        <v>106</v>
      </c>
      <c r="C22" s="46" t="s">
        <v>107</v>
      </c>
      <c r="D22" s="46">
        <v>60</v>
      </c>
      <c r="E22" s="46">
        <v>30</v>
      </c>
      <c r="F22" s="47" t="s">
        <v>33</v>
      </c>
    </row>
    <row r="23" spans="1:6">
      <c r="A23" s="46" t="s">
        <v>30</v>
      </c>
      <c r="B23" s="46" t="s">
        <v>31</v>
      </c>
      <c r="C23" s="46" t="s">
        <v>32</v>
      </c>
      <c r="D23" s="46">
        <v>80</v>
      </c>
      <c r="E23" s="46">
        <v>15</v>
      </c>
      <c r="F23" s="47" t="s">
        <v>33</v>
      </c>
    </row>
    <row r="24" spans="1:6">
      <c r="A24" s="46" t="s">
        <v>68</v>
      </c>
      <c r="B24" s="46" t="s">
        <v>31</v>
      </c>
      <c r="C24" s="46" t="s">
        <v>53</v>
      </c>
      <c r="D24" s="46">
        <v>90</v>
      </c>
      <c r="E24" s="46">
        <v>40</v>
      </c>
      <c r="F24" s="47" t="s">
        <v>33</v>
      </c>
    </row>
    <row r="25" spans="1:6">
      <c r="A25" s="46" t="s">
        <v>101</v>
      </c>
      <c r="B25" s="46" t="s">
        <v>86</v>
      </c>
      <c r="C25" s="46" t="s">
        <v>102</v>
      </c>
      <c r="D25" s="46">
        <v>130</v>
      </c>
      <c r="E25" s="46">
        <v>25</v>
      </c>
      <c r="F25" s="47" t="s">
        <v>33</v>
      </c>
    </row>
    <row r="26" spans="1:6">
      <c r="A26" s="46" t="s">
        <v>85</v>
      </c>
      <c r="B26" s="46" t="s">
        <v>86</v>
      </c>
      <c r="C26" s="46" t="s">
        <v>87</v>
      </c>
      <c r="D26" s="46">
        <v>150</v>
      </c>
      <c r="E26" s="46">
        <v>15</v>
      </c>
      <c r="F26" s="47" t="s">
        <v>33</v>
      </c>
    </row>
    <row r="27" spans="1:6">
      <c r="A27" s="46" t="s">
        <v>72</v>
      </c>
      <c r="B27" s="46" t="s">
        <v>108</v>
      </c>
      <c r="C27" s="46" t="s">
        <v>109</v>
      </c>
      <c r="D27" s="46">
        <v>40</v>
      </c>
      <c r="E27" s="46">
        <v>10</v>
      </c>
      <c r="F27" s="47" t="s">
        <v>35</v>
      </c>
    </row>
    <row r="28" spans="1:6">
      <c r="A28" s="46" t="s">
        <v>93</v>
      </c>
      <c r="B28" s="46" t="s">
        <v>94</v>
      </c>
      <c r="C28" s="46" t="s">
        <v>95</v>
      </c>
      <c r="D28" s="46">
        <v>80</v>
      </c>
      <c r="E28" s="46">
        <v>20</v>
      </c>
      <c r="F28" s="47" t="s">
        <v>35</v>
      </c>
    </row>
    <row r="29" spans="1:6">
      <c r="A29" s="46" t="s">
        <v>56</v>
      </c>
      <c r="B29" s="46" t="s">
        <v>57</v>
      </c>
      <c r="C29" s="46" t="s">
        <v>58</v>
      </c>
      <c r="D29" s="46">
        <v>90</v>
      </c>
      <c r="E29" s="46">
        <v>35</v>
      </c>
      <c r="F29" s="47" t="s">
        <v>35</v>
      </c>
    </row>
    <row r="30" spans="1:6">
      <c r="A30" s="46" t="s">
        <v>70</v>
      </c>
      <c r="B30" s="46" t="s">
        <v>38</v>
      </c>
      <c r="C30" s="46" t="s">
        <v>71</v>
      </c>
      <c r="D30" s="46">
        <v>120</v>
      </c>
      <c r="E30" s="46">
        <v>35</v>
      </c>
      <c r="F30" s="47" t="s">
        <v>35</v>
      </c>
    </row>
    <row r="31" spans="1:6">
      <c r="A31" s="46" t="s">
        <v>37</v>
      </c>
      <c r="B31" s="46" t="s">
        <v>38</v>
      </c>
      <c r="C31" s="46" t="s">
        <v>39</v>
      </c>
      <c r="D31" s="46">
        <v>130</v>
      </c>
      <c r="E31" s="46">
        <v>40</v>
      </c>
      <c r="F31" s="47" t="s">
        <v>35</v>
      </c>
    </row>
    <row r="32" spans="1:6">
      <c r="A32" s="46" t="s">
        <v>103</v>
      </c>
      <c r="B32" s="46" t="s">
        <v>57</v>
      </c>
      <c r="C32" s="46" t="s">
        <v>104</v>
      </c>
      <c r="D32" s="46">
        <v>400</v>
      </c>
      <c r="E32" s="46">
        <v>40</v>
      </c>
      <c r="F32" s="47" t="s">
        <v>35</v>
      </c>
    </row>
    <row r="33" spans="1:6">
      <c r="A33" s="46" t="s">
        <v>44</v>
      </c>
      <c r="B33" s="46" t="s">
        <v>45</v>
      </c>
      <c r="C33" s="46" t="s">
        <v>46</v>
      </c>
      <c r="D33" s="46">
        <v>70</v>
      </c>
      <c r="E33" s="46">
        <v>20</v>
      </c>
      <c r="F33" s="47" t="s">
        <v>36</v>
      </c>
    </row>
    <row r="34" spans="1:6">
      <c r="A34" s="46" t="s">
        <v>62</v>
      </c>
      <c r="B34" s="46" t="s">
        <v>63</v>
      </c>
      <c r="C34" s="46" t="s">
        <v>64</v>
      </c>
      <c r="D34" s="46">
        <v>130</v>
      </c>
      <c r="E34" s="46">
        <v>10</v>
      </c>
      <c r="F34" s="47" t="s">
        <v>36</v>
      </c>
    </row>
    <row r="35" spans="1:6">
      <c r="A35" s="46" t="s">
        <v>88</v>
      </c>
      <c r="B35" s="46" t="s">
        <v>89</v>
      </c>
      <c r="C35" s="46" t="s">
        <v>90</v>
      </c>
      <c r="D35" s="46">
        <v>200</v>
      </c>
      <c r="E35" s="46">
        <v>10</v>
      </c>
      <c r="F35" s="47" t="s">
        <v>36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Dataset</vt:lpstr>
      <vt:lpstr>Quantity Between 10 to 20</vt:lpstr>
      <vt:lpstr>Laptop</vt:lpstr>
      <vt:lpstr>Electronics and accessories</vt:lpstr>
      <vt:lpstr>Product count</vt:lpstr>
      <vt:lpstr>Category vs price</vt:lpstr>
      <vt:lpstr>Price and Quantity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Solo King</dc:creator>
  <cp:lastModifiedBy>Solo King</cp:lastModifiedBy>
  <dcterms:created xsi:type="dcterms:W3CDTF">2024-11-03T13:37:47Z</dcterms:created>
  <dcterms:modified xsi:type="dcterms:W3CDTF">2024-11-08T14:01:30Z</dcterms:modified>
</cp:coreProperties>
</file>