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3040" windowHeight="9372" activeTab="1"/>
  </bookViews>
  <sheets>
    <sheet name="Instructions" sheetId="1" r:id="rId1"/>
    <sheet name="Dataset" sheetId="2" r:id="rId2"/>
    <sheet name="Cleanned Data" sheetId="4" r:id="rId3"/>
  </sheets>
  <calcPr calcId="152511"/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P4" i="2"/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P5" i="2"/>
  <c r="P3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</calcChain>
</file>

<file path=xl/sharedStrings.xml><?xml version="1.0" encoding="utf-8"?>
<sst xmlns="http://schemas.openxmlformats.org/spreadsheetml/2006/main" count="367" uniqueCount="183">
  <si>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</si>
  <si>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</si>
  <si>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</si>
  <si>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</si>
  <si>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</si>
  <si>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</si>
  <si>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</si>
  <si>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</si>
  <si>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</si>
  <si>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</si>
  <si>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</si>
  <si>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</si>
  <si>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</si>
  <si>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</si>
  <si>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</si>
  <si>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</si>
  <si>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</si>
  <si>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</si>
  <si>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</si>
  <si>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</si>
  <si>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</si>
  <si>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</si>
  <si>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</si>
  <si>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</si>
  <si>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</si>
  <si>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</si>
  <si>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</si>
  <si>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</si>
  <si>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</si>
  <si>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</si>
  <si>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</si>
  <si>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</si>
  <si>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</si>
  <si>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</si>
  <si>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</si>
  <si>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</si>
  <si>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</si>
  <si>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</si>
  <si>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</si>
  <si>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</si>
  <si>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</si>
  <si>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</si>
  <si>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</si>
  <si>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</si>
  <si>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</si>
  <si>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</si>
  <si>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</si>
  <si>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</si>
  <si>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</si>
  <si>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</si>
  <si>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</si>
  <si>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</si>
  <si>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</si>
  <si>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</si>
  <si>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</si>
  <si>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</si>
  <si>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</si>
  <si>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</si>
  <si>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</si>
  <si>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</si>
  <si>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</si>
  <si>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</si>
  <si>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</si>
  <si>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</si>
  <si>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</si>
  <si>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</si>
  <si>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</si>
  <si>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</si>
  <si>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</si>
  <si>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</si>
  <si>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</si>
  <si>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</si>
  <si>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</si>
  <si>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</si>
  <si>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</si>
  <si>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</si>
  <si>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</si>
  <si>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</si>
  <si>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</si>
  <si>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</si>
  <si>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</si>
  <si>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</si>
  <si>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</si>
  <si>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</si>
  <si>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</si>
  <si>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</si>
  <si>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</si>
  <si>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</si>
  <si>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</si>
  <si>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</si>
  <si>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</si>
  <si>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</si>
  <si>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</si>
  <si>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</si>
  <si>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</si>
  <si>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</si>
  <si>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</si>
  <si>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</si>
  <si>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</si>
  <si>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</si>
  <si>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</si>
  <si>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</si>
  <si>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</si>
  <si>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</si>
  <si>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</si>
  <si>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</si>
  <si>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</si>
  <si>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</si>
  <si>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</si>
  <si>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</si>
  <si>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</si>
  <si>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</si>
  <si>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</si>
  <si>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</si>
  <si>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</si>
  <si>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Category Formatted</t>
  </si>
  <si>
    <t>Count Blank Price</t>
  </si>
  <si>
    <t>Count Blank Category</t>
  </si>
  <si>
    <t>Formated Product Name</t>
  </si>
  <si>
    <t>Avarage Price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</si>
  <si>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</si>
  <si>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</si>
  <si>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</si>
  <si>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</si>
  <si>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</si>
  <si>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</si>
  <si>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</si>
  <si>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</si>
  <si>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</si>
  <si>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</si>
  <si>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</si>
  <si>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</si>
  <si>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</si>
  <si>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</si>
  <si>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</si>
  <si>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</si>
  <si>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</si>
  <si>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</si>
  <si>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</si>
  <si>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</si>
  <si>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</si>
  <si>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</si>
  <si>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</si>
  <si>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</si>
  <si>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Product code</t>
  </si>
  <si>
    <t>Product date</t>
  </si>
  <si>
    <t>Product Month</t>
  </si>
  <si>
    <t>Manufacturing Date</t>
  </si>
  <si>
    <t>Product Brand</t>
  </si>
  <si>
    <t>28 JAN</t>
  </si>
  <si>
    <t>15 FEB</t>
  </si>
  <si>
    <t>3 MAR</t>
  </si>
  <si>
    <t>11 APR</t>
  </si>
  <si>
    <t>22 MAY</t>
  </si>
  <si>
    <t>7 JUN</t>
  </si>
  <si>
    <t>19 JUL</t>
  </si>
  <si>
    <t>23 AUG</t>
  </si>
  <si>
    <t>5 SEP</t>
  </si>
  <si>
    <t>14 OCT</t>
  </si>
  <si>
    <t>17 JUN</t>
  </si>
  <si>
    <t>25 NOV</t>
  </si>
  <si>
    <t>8 DEC</t>
  </si>
  <si>
    <t>18 FEB</t>
  </si>
  <si>
    <t>16 APR</t>
  </si>
  <si>
    <t>21 AUG</t>
  </si>
  <si>
    <t>20 AUG</t>
  </si>
  <si>
    <t>27 JAN</t>
  </si>
  <si>
    <t>1 MAR</t>
  </si>
  <si>
    <t>14 AUG</t>
  </si>
  <si>
    <t>14 MAY</t>
  </si>
  <si>
    <t>9 JAN</t>
  </si>
  <si>
    <t>29 SEP</t>
  </si>
  <si>
    <t>3 JUN</t>
  </si>
  <si>
    <t>11 JUL</t>
  </si>
  <si>
    <t>7 MAR</t>
  </si>
  <si>
    <t>13 APR</t>
  </si>
  <si>
    <t>24 MAY</t>
  </si>
  <si>
    <t>2 DEC</t>
  </si>
  <si>
    <t>9 JUL</t>
  </si>
  <si>
    <t>Unknow</t>
  </si>
  <si>
    <t>Price Formated</t>
  </si>
  <si>
    <t>T-Shirt</t>
  </si>
  <si>
    <t>Duplicates Handled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</si>
</sst>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409]#,##0.00;[Red][$$-409]#,##0.00"/>
  </numFmts>
  <fonts count="14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b/>
      <sz val="12"/>
      <color theme="1"/>
      <name val="&quot;Times New Roman&quot;"/>
    </font>
    <font>
      <sz val="12"/>
      <color theme="1"/>
      <name val="&quot;Times New Roman&quot;"/>
    </font>
    <font>
      <b/>
      <sz val="11"/>
      <color theme="1"/>
      <name val="Calibri"/>
    </font>
    <font>
      <b/>
      <sz val="12"/>
      <color theme="1"/>
      <name val="Times New Roman"/>
    </font>
    <font>
      <sz val="10"/>
      <color theme="1"/>
      <name val="Arial"/>
    </font>
    <font>
      <sz val="12"/>
      <color theme="1"/>
      <name val="Times New Roman"/>
    </font>
    <font>
      <sz val="11"/>
      <color theme="1"/>
      <name val="Times New Roman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0" fillId="0" borderId="1" xfId="0" applyFont="1" applyBorder="1" applyAlignment="1"/>
    <xf numFmtId="0" fontId="10" fillId="0" borderId="1" xfId="0" applyFont="1" applyBorder="1" applyAlignment="1"/>
    <xf numFmtId="0" fontId="10" fillId="0" borderId="1" xfId="0" applyNumberFormat="1" applyFont="1" applyBorder="1" applyAlignment="1"/>
    <xf numFmtId="164" fontId="10" fillId="0" borderId="1" xfId="0" applyNumberFormat="1" applyFont="1" applyBorder="1" applyAlignment="1"/>
    <xf numFmtId="0" fontId="11" fillId="0" borderId="1" xfId="0" applyNumberFormat="1" applyFont="1" applyBorder="1" applyAlignment="1"/>
    <xf numFmtId="0" fontId="6" fillId="2" borderId="1" xfId="0" applyFont="1" applyFill="1" applyBorder="1" applyAlignment="1"/>
    <xf numFmtId="0" fontId="6" fillId="2" borderId="1" xfId="0" applyNumberFormat="1" applyFont="1" applyFill="1" applyBorder="1" applyAlignment="1"/>
    <xf numFmtId="164" fontId="6" fillId="2" borderId="1" xfId="0" applyNumberFormat="1" applyFont="1" applyFill="1" applyBorder="1" applyAlignment="1"/>
    <xf numFmtId="0" fontId="11" fillId="0" borderId="1" xfId="0" applyFont="1" applyBorder="1" applyAlignment="1"/>
    <xf numFmtId="164" fontId="11" fillId="0" borderId="1" xfId="0" applyNumberFormat="1" applyFont="1" applyBorder="1" applyAlignment="1"/>
    <xf numFmtId="0" fontId="6" fillId="2" borderId="1" xfId="0" applyFont="1" applyFill="1" applyBorder="1" applyAlignment="1">
      <alignment horizontal="right"/>
    </xf>
    <xf numFmtId="0" fontId="9" fillId="0" borderId="1" xfId="0" applyFont="1" applyBorder="1" applyAlignment="1">
      <alignment horizontal="center"/>
    </xf>
    <xf numFmtId="0" fontId="9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0" borderId="1" xfId="0" applyNumberFormat="1" applyFont="1" applyBorder="1" applyAlignment="1"/>
    <xf numFmtId="0" fontId="11" fillId="4" borderId="1" xfId="0" applyNumberFormat="1" applyFont="1" applyFill="1" applyBorder="1" applyAlignment="1"/>
    <xf numFmtId="164" fontId="11" fillId="4" borderId="1" xfId="0" applyNumberFormat="1" applyFont="1" applyFill="1" applyBorder="1" applyAlignment="1"/>
    <xf numFmtId="14" fontId="10" fillId="0" borderId="1" xfId="0" applyNumberFormat="1" applyFont="1" applyBorder="1" applyAlignment="1"/>
    <xf numFmtId="14" fontId="6" fillId="2" borderId="1" xfId="0" applyNumberFormat="1" applyFont="1" applyFill="1" applyBorder="1" applyAlignment="1"/>
    <xf numFmtId="0" fontId="12" fillId="3" borderId="1" xfId="0" applyNumberFormat="1" applyFont="1" applyFill="1" applyBorder="1" applyAlignment="1">
      <alignment horizontal="center"/>
    </xf>
    <xf numFmtId="0" fontId="11" fillId="2" borderId="1" xfId="0" applyNumberFormat="1" applyFont="1" applyFill="1" applyBorder="1" applyAlignment="1"/>
    <xf numFmtId="164" fontId="11" fillId="2" borderId="1" xfId="0" applyNumberFormat="1" applyFont="1" applyFill="1" applyBorder="1" applyAlignment="1"/>
    <xf numFmtId="0" fontId="13" fillId="5" borderId="1" xfId="0" applyFont="1" applyFill="1" applyBorder="1" applyAlignment="1"/>
    <xf numFmtId="0" fontId="13" fillId="6" borderId="1" xfId="0" applyFont="1" applyFill="1" applyBorder="1" applyAlignment="1"/>
    <xf numFmtId="0" fontId="0" fillId="6" borderId="1" xfId="0" applyFont="1" applyFill="1" applyBorder="1" applyAlignment="1"/>
  </cellXfs>
  <cellStyles count="1">
    <cellStyle name="Normal" xfId="0" builtinId="0"/>
  </cellStyles>
  <dxfs count="22">
    <dxf>
      <font>
        <color theme="1"/>
      </font>
      <numFmt numFmtId="19" formatCode="dd/mm/yyyy"/>
      <alignment horizontal="general" vertical="bottom" textRotation="0" wrapText="0" indent="0" justifyLastLine="0" shrinkToFit="0" readingOrder="0"/>
    </dxf>
    <dxf>
      <font>
        <color theme="1"/>
      </font>
      <numFmt numFmtId="0" formatCode="General"/>
      <alignment horizontal="general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color theme="1"/>
      </font>
      <numFmt numFmtId="0" formatCode="General"/>
      <alignment horizontal="general" vertical="bottom" textRotation="0" wrapText="0" indent="0" justifyLastLine="0" shrinkToFit="0" readingOrder="0"/>
    </dxf>
    <dxf>
      <font>
        <color theme="1"/>
      </font>
      <numFmt numFmtId="0" formatCode="General"/>
      <alignment horizontal="general" vertical="bottom" textRotation="0" wrapText="0" indent="0" justifyLastLine="0" shrinkToFit="0" readingOrder="0"/>
    </dxf>
    <dxf>
      <font>
        <color theme="1"/>
      </font>
      <numFmt numFmtId="0" formatCode="General"/>
      <alignment horizontal="general" vertical="bottom" textRotation="0" wrapText="0" indent="0" justifyLastLine="0" shrinkToFit="0" readingOrder="0"/>
    </dxf>
    <dxf>
      <font>
        <color theme="1"/>
      </font>
      <numFmt numFmtId="164" formatCode="[$$-409]#,##0.00;[Red][$$-409]#,##0.00"/>
      <alignment horizontal="general" vertical="bottom" textRotation="0" wrapText="0" indent="0" justifyLastLine="0" shrinkToFit="0" readingOrder="0"/>
    </dxf>
    <dxf>
      <font>
        <color theme="1"/>
      </font>
      <numFmt numFmtId="0" formatCode="General"/>
      <alignment horizontal="general" vertical="bottom" textRotation="0" wrapText="0" indent="0" justifyLastLine="0" shrinkToFit="0" readingOrder="0"/>
    </dxf>
    <dxf>
      <font>
        <color theme="1"/>
      </font>
      <numFmt numFmtId="0" formatCode="General"/>
      <alignment horizontal="general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6500"/>
      </font>
      <fill>
        <patternFill>
          <bgColor rgb="FFFFEB9C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2">
    <tableStyle name="Dataset-style" pivot="0" count="3">
      <tableStyleElement type="headerRow" dxfId="21"/>
      <tableStyleElement type="firstRowStripe" dxfId="20"/>
      <tableStyleElement type="secondRowStripe" dxfId="19"/>
    </tableStyle>
    <tableStyle name="Dataset-style 2" pivot="0" count="3"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137161</xdr:colOff>
      <xdr:row>2</xdr:row>
      <xdr:rowOff>68581</xdr:rowOff>
    </xdr:from>
    <xdr:to>
      <xdr:col>16</xdr:col>
      <xdr:colOff>33159</xdr:colOff>
      <xdr:row>22</xdr:row>
      <xdr:rowOff>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8541" y="403861"/>
          <a:ext cx="6616838" cy="32842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_1" displayName="Table_1" ref="A1:E35" headerRowDxfId="14" totalsRowDxfId="13">
  <tableColumns count="5">
    <tableColumn id="1" name="Product ID" dataDxfId="12"/>
    <tableColumn id="2" name="Product Name" dataDxfId="11"/>
    <tableColumn id="3" name="Brand Name" dataDxfId="10"/>
    <tableColumn id="4" name="Price ($)" dataDxfId="9"/>
    <tableColumn id="5" name="Quantity" dataDxfId="8"/>
  </tableColumns>
  <tableStyleInfo name="Dataset-style 2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F1:N35">
  <tableColumns count="9">
    <tableColumn id="1" name="Category"/>
    <tableColumn id="2" name="Formated Product Name" dataDxfId="7">
      <calculatedColumnFormula>PROPER(B2)</calculatedColumnFormula>
    </tableColumn>
    <tableColumn id="3" name="Category Formatted" dataDxfId="6">
      <calculatedColumnFormula>IF(ISBLANK(F2),"Unknow",F2)</calculatedColumnFormula>
    </tableColumn>
    <tableColumn id="4" name="Price Formated" dataDxfId="5">
      <calculatedColumnFormula>IF(ISBLANK(D2),ROUND(AVERAGE($D$2:$D$35),0),D2)</calculatedColumnFormula>
    </tableColumn>
    <tableColumn id="5" name="Product date" dataDxfId="4"/>
    <tableColumn id="6" name="Product Month" dataDxfId="3"/>
    <tableColumn id="7" name="Product code" dataDxfId="2"/>
    <tableColumn id="8" name="Product Brand" dataDxfId="1">
      <calculatedColumnFormula>CONCATENATE(G2," ",C2)</calculatedColumnFormula>
    </tableColumn>
    <tableColumn id="9" name="Manufacturing Date" dataDxfId="0">
      <calculatedColumnFormula>J2&amp;" "&amp;K2</calculatedColumnFormula>
    </tableColumn>
  </tableColumns>
  <tableStyleInfo name="Dataset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7"/>
  <sheetViews>
    <sheetView showGridLines="0" workbookViewId="0">
      <selection activeCell="C29" sqref="C29"/>
    </sheetView>
  </sheetViews>
  <sheetFormatPr defaultColWidth="12.6640625" defaultRowHeight="15.75" customHeight="1"/>
  <cols>
    <col min="2" max="2" width="7.44140625" customWidth="1"/>
  </cols>
  <sheetData>
    <row r="1" spans="1:11" ht="13.8">
      <c r="A1" s="1" t="s">
        <v>0</v>
      </c>
    </row>
    <row r="3" spans="1:11" ht="15.75" customHeight="1">
      <c r="B3" s="2" t="s">
        <v>1</v>
      </c>
    </row>
    <row r="4" spans="1:11" ht="15">
      <c r="C4" s="3" t="s">
        <v>2</v>
      </c>
    </row>
    <row r="5" spans="1:11" ht="15.75" customHeight="1">
      <c r="B5" s="4"/>
      <c r="C5" s="3" t="s">
        <v>3</v>
      </c>
    </row>
    <row r="6" spans="1:11" ht="15.75" customHeight="1">
      <c r="B6" s="4"/>
    </row>
    <row r="7" spans="1:11" ht="15.75" customHeight="1">
      <c r="B7" s="2" t="s">
        <v>4</v>
      </c>
    </row>
    <row r="8" spans="1:11" ht="15">
      <c r="C8" s="3" t="s">
        <v>5</v>
      </c>
    </row>
    <row r="9" spans="1:11" ht="15">
      <c r="C9" s="3" t="s">
        <v>6</v>
      </c>
    </row>
    <row r="10" spans="1:11" ht="15">
      <c r="C10" s="3" t="s">
        <v>7</v>
      </c>
    </row>
    <row r="11" spans="1:11" ht="15.75" customHeight="1">
      <c r="B11" s="4"/>
    </row>
    <row r="12" spans="1:11" ht="15.75" customHeight="1">
      <c r="B12" s="2" t="s">
        <v>8</v>
      </c>
    </row>
    <row r="13" spans="1:11" ht="15.75" customHeight="1">
      <c r="B13" s="2"/>
      <c r="C13" s="3" t="s">
        <v>9</v>
      </c>
    </row>
    <row r="15" spans="1:11" ht="15.75" customHeight="1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3.2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3.2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3.8">
      <c r="B27" s="6"/>
      <c r="C27" s="6"/>
      <c r="D27" s="8"/>
      <c r="E27" s="6"/>
      <c r="F27" s="6"/>
      <c r="G27" s="6"/>
      <c r="H27" s="6"/>
      <c r="I27" s="6"/>
      <c r="J27" s="6"/>
      <c r="K2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35"/>
  <sheetViews>
    <sheetView tabSelected="1" workbookViewId="0">
      <selection activeCell="I16" sqref="I16"/>
    </sheetView>
  </sheetViews>
  <sheetFormatPr defaultColWidth="12.6640625" defaultRowHeight="15.75" customHeight="1"/>
  <cols>
    <col min="1" max="1" width="12.6640625" style="9"/>
    <col min="2" max="2" width="13.6640625" style="23" bestFit="1" customWidth="1"/>
    <col min="3" max="4" width="12.6640625" style="9"/>
    <col min="5" max="5" width="8.44140625" style="9" bestFit="1" customWidth="1"/>
    <col min="6" max="6" width="11" style="9" bestFit="1" customWidth="1"/>
    <col min="7" max="7" width="22.6640625" style="23" bestFit="1" customWidth="1"/>
    <col min="8" max="8" width="18.77734375" style="23" bestFit="1" customWidth="1"/>
    <col min="9" max="9" width="16.5546875" style="9" bestFit="1" customWidth="1"/>
    <col min="10" max="10" width="12.33203125" style="9" bestFit="1" customWidth="1"/>
    <col min="11" max="11" width="14.109375" style="9" bestFit="1" customWidth="1"/>
    <col min="12" max="12" width="12.6640625" style="9"/>
    <col min="13" max="13" width="21.44140625" style="9" bestFit="1" customWidth="1"/>
    <col min="14" max="14" width="18.21875" style="9" bestFit="1" customWidth="1"/>
    <col min="15" max="15" width="20.5546875" bestFit="1" customWidth="1"/>
    <col min="16" max="16" width="6" customWidth="1"/>
  </cols>
  <sheetData>
    <row r="1" spans="1:16">
      <c r="A1" s="20" t="s">
        <v>19</v>
      </c>
      <c r="B1" s="21" t="s">
        <v>20</v>
      </c>
      <c r="C1" s="20" t="s">
        <v>21</v>
      </c>
      <c r="D1" s="20" t="s">
        <v>22</v>
      </c>
      <c r="E1" s="20" t="s">
        <v>23</v>
      </c>
      <c r="F1" s="20" t="s">
        <v>24</v>
      </c>
      <c r="G1" s="21" t="s">
        <v>118</v>
      </c>
      <c r="H1" s="21" t="s">
        <v>115</v>
      </c>
      <c r="I1" s="22" t="s">
        <v>180</v>
      </c>
      <c r="J1" s="22" t="s">
        <v>145</v>
      </c>
      <c r="K1" s="20" t="s">
        <v>146</v>
      </c>
      <c r="L1" s="20" t="s">
        <v>144</v>
      </c>
      <c r="M1" s="20" t="s">
        <v>148</v>
      </c>
      <c r="N1" s="20" t="s">
        <v>147</v>
      </c>
      <c r="O1" s="6"/>
    </row>
    <row r="2" spans="1:16">
      <c r="A2" s="10" t="s">
        <v>25</v>
      </c>
      <c r="B2" s="11" t="s">
        <v>26</v>
      </c>
      <c r="C2" s="10" t="s">
        <v>27</v>
      </c>
      <c r="D2" s="10">
        <v>1000</v>
      </c>
      <c r="E2" s="10">
        <v>30</v>
      </c>
      <c r="F2" s="10" t="s">
        <v>28</v>
      </c>
      <c r="G2" s="11" t="str">
        <f t="shared" ref="G2:G35" si="0">PROPER(B2)</f>
        <v>Laptop</v>
      </c>
      <c r="H2" s="11" t="str">
        <f t="shared" ref="H2:H35" si="1">IF(ISBLANK(F2),"Unknow",F2)</f>
        <v>Electronics</v>
      </c>
      <c r="I2" s="12">
        <f t="shared" ref="I2:I35" si="2">IF(ISBLANK(D2),ROUND(AVERAGE($D$2:$D$35),0),D2)</f>
        <v>1000</v>
      </c>
      <c r="J2" s="10">
        <v>28</v>
      </c>
      <c r="K2" s="10" t="s">
        <v>132</v>
      </c>
      <c r="L2" s="10" t="s">
        <v>120</v>
      </c>
      <c r="M2" s="10" t="str">
        <f t="shared" ref="M2:M35" si="3">CONCATENATE(G2," ",C2)</f>
        <v>Laptop Dell</v>
      </c>
      <c r="N2" s="26" t="str">
        <f t="shared" ref="N2:N35" si="4">J2&amp;" "&amp;K2</f>
        <v>28 JAN</v>
      </c>
    </row>
    <row r="3" spans="1:16">
      <c r="A3" s="10" t="s">
        <v>29</v>
      </c>
      <c r="B3" s="11" t="s">
        <v>30</v>
      </c>
      <c r="C3" s="10" t="s">
        <v>31</v>
      </c>
      <c r="D3" s="10">
        <v>80</v>
      </c>
      <c r="E3" s="10">
        <v>15</v>
      </c>
      <c r="F3" s="10" t="s">
        <v>32</v>
      </c>
      <c r="G3" s="11" t="str">
        <f t="shared" si="0"/>
        <v>Sneakers</v>
      </c>
      <c r="H3" s="11" t="str">
        <f t="shared" si="1"/>
        <v>Fashion</v>
      </c>
      <c r="I3" s="12">
        <f t="shared" si="2"/>
        <v>80</v>
      </c>
      <c r="J3" s="10">
        <v>15</v>
      </c>
      <c r="K3" s="10" t="s">
        <v>133</v>
      </c>
      <c r="L3" s="10" t="s">
        <v>120</v>
      </c>
      <c r="M3" s="10" t="str">
        <f t="shared" si="3"/>
        <v>Sneakers Nike</v>
      </c>
      <c r="N3" s="26" t="str">
        <f t="shared" si="4"/>
        <v>15 FEB</v>
      </c>
      <c r="O3" s="31" t="s">
        <v>116</v>
      </c>
      <c r="P3" s="33">
        <f>COUNTBLANK(D2:D35)</f>
        <v>3</v>
      </c>
    </row>
    <row r="4" spans="1:16">
      <c r="A4" s="10" t="s">
        <v>33</v>
      </c>
      <c r="B4" s="11" t="s">
        <v>34</v>
      </c>
      <c r="C4" s="10" t="s">
        <v>35</v>
      </c>
      <c r="D4" s="10">
        <v>130</v>
      </c>
      <c r="E4" s="10">
        <v>40</v>
      </c>
      <c r="F4" s="10" t="s">
        <v>36</v>
      </c>
      <c r="G4" s="11" t="str">
        <f t="shared" si="0"/>
        <v>Coffee Maker</v>
      </c>
      <c r="H4" s="11" t="str">
        <f t="shared" si="1"/>
        <v>Kitchen</v>
      </c>
      <c r="I4" s="12">
        <f t="shared" si="2"/>
        <v>130</v>
      </c>
      <c r="J4" s="10">
        <v>3</v>
      </c>
      <c r="K4" s="10" t="s">
        <v>134</v>
      </c>
      <c r="L4" s="10" t="s">
        <v>120</v>
      </c>
      <c r="M4" s="10" t="str">
        <f t="shared" si="3"/>
        <v>Coffee Maker Keurig</v>
      </c>
      <c r="N4" s="26" t="str">
        <f t="shared" si="4"/>
        <v>3 MAR</v>
      </c>
      <c r="O4" s="31" t="s">
        <v>117</v>
      </c>
      <c r="P4" s="33">
        <f>COUNTBLANK(F2:F35)</f>
        <v>4</v>
      </c>
    </row>
    <row r="5" spans="1:16">
      <c r="A5" s="10" t="s">
        <v>37</v>
      </c>
      <c r="B5" s="11" t="s">
        <v>38</v>
      </c>
      <c r="C5" s="10" t="s">
        <v>39</v>
      </c>
      <c r="D5" s="10">
        <v>900</v>
      </c>
      <c r="E5" s="10">
        <v>25</v>
      </c>
      <c r="F5" s="10" t="s">
        <v>28</v>
      </c>
      <c r="G5" s="11" t="str">
        <f t="shared" si="0"/>
        <v>Smartphone</v>
      </c>
      <c r="H5" s="11" t="str">
        <f t="shared" si="1"/>
        <v>Electronics</v>
      </c>
      <c r="I5" s="12">
        <f t="shared" si="2"/>
        <v>900</v>
      </c>
      <c r="J5" s="10">
        <v>11</v>
      </c>
      <c r="K5" s="10" t="s">
        <v>135</v>
      </c>
      <c r="L5" s="10" t="s">
        <v>120</v>
      </c>
      <c r="M5" s="10" t="str">
        <f t="shared" si="3"/>
        <v>Smartphone Samsung</v>
      </c>
      <c r="N5" s="26" t="str">
        <f t="shared" si="4"/>
        <v>11 APR</v>
      </c>
      <c r="O5" s="31" t="s">
        <v>119</v>
      </c>
      <c r="P5" s="33">
        <f>ROUND(AVERAGE(D2:D35),0)</f>
        <v>309</v>
      </c>
    </row>
    <row r="6" spans="1:16">
      <c r="A6" s="10" t="s">
        <v>40</v>
      </c>
      <c r="B6" s="11" t="s">
        <v>41</v>
      </c>
      <c r="C6" s="10" t="s">
        <v>42</v>
      </c>
      <c r="D6" s="10">
        <v>70</v>
      </c>
      <c r="E6" s="10">
        <v>20</v>
      </c>
      <c r="F6" s="10"/>
      <c r="G6" s="11" t="str">
        <f t="shared" si="0"/>
        <v>Backpack</v>
      </c>
      <c r="H6" s="11" t="str">
        <f t="shared" si="1"/>
        <v>Unknow</v>
      </c>
      <c r="I6" s="12">
        <f t="shared" si="2"/>
        <v>70</v>
      </c>
      <c r="J6" s="10">
        <v>22</v>
      </c>
      <c r="K6" s="10" t="s">
        <v>136</v>
      </c>
      <c r="L6" s="10" t="s">
        <v>120</v>
      </c>
      <c r="M6" s="10" t="str">
        <f t="shared" si="3"/>
        <v>Backpack North Face</v>
      </c>
      <c r="N6" s="26" t="str">
        <f t="shared" si="4"/>
        <v>22 MAY</v>
      </c>
    </row>
    <row r="7" spans="1:16">
      <c r="A7" s="10" t="s">
        <v>43</v>
      </c>
      <c r="B7" s="11" t="s">
        <v>44</v>
      </c>
      <c r="C7" s="10" t="s">
        <v>45</v>
      </c>
      <c r="D7" s="10"/>
      <c r="E7" s="10">
        <v>45</v>
      </c>
      <c r="F7" s="10" t="s">
        <v>28</v>
      </c>
      <c r="G7" s="11" t="str">
        <f t="shared" si="0"/>
        <v>Headphones</v>
      </c>
      <c r="H7" s="11" t="str">
        <f t="shared" si="1"/>
        <v>Electronics</v>
      </c>
      <c r="I7" s="12">
        <f t="shared" si="2"/>
        <v>309</v>
      </c>
      <c r="J7" s="10">
        <v>7</v>
      </c>
      <c r="K7" s="10" t="s">
        <v>137</v>
      </c>
      <c r="L7" s="10" t="s">
        <v>121</v>
      </c>
      <c r="M7" s="10" t="str">
        <f t="shared" si="3"/>
        <v>Headphones Sony</v>
      </c>
      <c r="N7" s="26" t="str">
        <f t="shared" si="4"/>
        <v>7 JUN</v>
      </c>
    </row>
    <row r="8" spans="1:16">
      <c r="A8" s="10" t="s">
        <v>46</v>
      </c>
      <c r="B8" s="11" t="s">
        <v>47</v>
      </c>
      <c r="C8" s="10" t="s">
        <v>48</v>
      </c>
      <c r="D8" s="10">
        <v>30</v>
      </c>
      <c r="E8" s="10">
        <v>5</v>
      </c>
      <c r="F8" s="10" t="s">
        <v>32</v>
      </c>
      <c r="G8" s="11" t="str">
        <f t="shared" si="0"/>
        <v>T-Shirt</v>
      </c>
      <c r="H8" s="11" t="str">
        <f t="shared" si="1"/>
        <v>Fashion</v>
      </c>
      <c r="I8" s="12">
        <f t="shared" si="2"/>
        <v>30</v>
      </c>
      <c r="J8" s="10">
        <v>19</v>
      </c>
      <c r="K8" s="10" t="s">
        <v>138</v>
      </c>
      <c r="L8" s="10" t="s">
        <v>121</v>
      </c>
      <c r="M8" s="10" t="str">
        <f t="shared" si="3"/>
        <v>T-Shirt Adidas</v>
      </c>
      <c r="N8" s="26" t="str">
        <f t="shared" si="4"/>
        <v>19 JUL</v>
      </c>
    </row>
    <row r="9" spans="1:16">
      <c r="A9" s="10" t="s">
        <v>49</v>
      </c>
      <c r="B9" s="11" t="s">
        <v>50</v>
      </c>
      <c r="C9" s="10" t="s">
        <v>51</v>
      </c>
      <c r="D9" s="10">
        <v>90</v>
      </c>
      <c r="E9" s="10">
        <v>35</v>
      </c>
      <c r="F9" s="10" t="s">
        <v>36</v>
      </c>
      <c r="G9" s="11" t="str">
        <f t="shared" si="0"/>
        <v>Blender</v>
      </c>
      <c r="H9" s="11" t="str">
        <f t="shared" si="1"/>
        <v>Kitchen</v>
      </c>
      <c r="I9" s="12">
        <f t="shared" si="2"/>
        <v>90</v>
      </c>
      <c r="J9" s="10">
        <v>23</v>
      </c>
      <c r="K9" s="10" t="s">
        <v>139</v>
      </c>
      <c r="L9" s="10" t="s">
        <v>121</v>
      </c>
      <c r="M9" s="10" t="str">
        <f t="shared" si="3"/>
        <v>Blender Ninja</v>
      </c>
      <c r="N9" s="26" t="str">
        <f t="shared" si="4"/>
        <v>23 AUG</v>
      </c>
    </row>
    <row r="10" spans="1:16">
      <c r="A10" s="10" t="s">
        <v>52</v>
      </c>
      <c r="B10" s="11" t="s">
        <v>53</v>
      </c>
      <c r="C10" s="10" t="s">
        <v>54</v>
      </c>
      <c r="D10" s="10">
        <v>500</v>
      </c>
      <c r="E10" s="10">
        <v>50</v>
      </c>
      <c r="F10" s="10" t="s">
        <v>28</v>
      </c>
      <c r="G10" s="11" t="str">
        <f t="shared" si="0"/>
        <v>Tablet</v>
      </c>
      <c r="H10" s="11" t="str">
        <f t="shared" si="1"/>
        <v>Electronics</v>
      </c>
      <c r="I10" s="12">
        <f t="shared" si="2"/>
        <v>500</v>
      </c>
      <c r="J10" s="10">
        <v>5</v>
      </c>
      <c r="K10" s="10" t="s">
        <v>140</v>
      </c>
      <c r="L10" s="10" t="s">
        <v>121</v>
      </c>
      <c r="M10" s="10" t="str">
        <f t="shared" si="3"/>
        <v>Tablet Apple</v>
      </c>
      <c r="N10" s="26" t="str">
        <f t="shared" si="4"/>
        <v>5 SEP</v>
      </c>
    </row>
    <row r="11" spans="1:16">
      <c r="A11" s="10" t="s">
        <v>55</v>
      </c>
      <c r="B11" s="11" t="s">
        <v>56</v>
      </c>
      <c r="C11" s="10" t="s">
        <v>57</v>
      </c>
      <c r="D11" s="10">
        <v>130</v>
      </c>
      <c r="E11" s="10">
        <v>10</v>
      </c>
      <c r="F11" s="10" t="s">
        <v>58</v>
      </c>
      <c r="G11" s="11" t="str">
        <f t="shared" si="0"/>
        <v>Hiking Boots</v>
      </c>
      <c r="H11" s="11" t="str">
        <f t="shared" si="1"/>
        <v>Outdoor</v>
      </c>
      <c r="I11" s="12">
        <f t="shared" si="2"/>
        <v>130</v>
      </c>
      <c r="J11" s="10">
        <v>14</v>
      </c>
      <c r="K11" s="10" t="s">
        <v>141</v>
      </c>
      <c r="L11" s="10" t="s">
        <v>121</v>
      </c>
      <c r="M11" s="10" t="str">
        <f t="shared" si="3"/>
        <v>Hiking Boots Timberland</v>
      </c>
      <c r="N11" s="26" t="str">
        <f t="shared" si="4"/>
        <v>14 OCT</v>
      </c>
    </row>
    <row r="12" spans="1:16">
      <c r="A12" s="10" t="s">
        <v>59</v>
      </c>
      <c r="B12" s="11" t="s">
        <v>60</v>
      </c>
      <c r="C12" s="10" t="s">
        <v>61</v>
      </c>
      <c r="D12" s="10">
        <v>950</v>
      </c>
      <c r="E12" s="10">
        <v>25</v>
      </c>
      <c r="F12" s="10" t="s">
        <v>28</v>
      </c>
      <c r="G12" s="11" t="str">
        <f t="shared" si="0"/>
        <v>Laptop</v>
      </c>
      <c r="H12" s="11" t="str">
        <f t="shared" si="1"/>
        <v>Electronics</v>
      </c>
      <c r="I12" s="12">
        <f t="shared" si="2"/>
        <v>950</v>
      </c>
      <c r="J12" s="10">
        <v>17</v>
      </c>
      <c r="K12" s="10" t="s">
        <v>137</v>
      </c>
      <c r="L12" s="10" t="s">
        <v>122</v>
      </c>
      <c r="M12" s="10" t="str">
        <f t="shared" si="3"/>
        <v>Laptop HP</v>
      </c>
      <c r="N12" s="26" t="str">
        <f t="shared" si="4"/>
        <v>17 JUN</v>
      </c>
    </row>
    <row r="13" spans="1:16">
      <c r="A13" s="10" t="s">
        <v>62</v>
      </c>
      <c r="B13" s="11" t="s">
        <v>30</v>
      </c>
      <c r="C13" s="10" t="s">
        <v>48</v>
      </c>
      <c r="D13" s="10">
        <v>90</v>
      </c>
      <c r="E13" s="10">
        <v>40</v>
      </c>
      <c r="F13" s="10"/>
      <c r="G13" s="11" t="str">
        <f t="shared" si="0"/>
        <v>Sneakers</v>
      </c>
      <c r="H13" s="11" t="str">
        <f t="shared" si="1"/>
        <v>Unknow</v>
      </c>
      <c r="I13" s="12">
        <f t="shared" si="2"/>
        <v>90</v>
      </c>
      <c r="J13" s="10">
        <v>25</v>
      </c>
      <c r="K13" s="10" t="s">
        <v>142</v>
      </c>
      <c r="L13" s="10" t="s">
        <v>123</v>
      </c>
      <c r="M13" s="10" t="str">
        <f t="shared" si="3"/>
        <v>Sneakers Adidas</v>
      </c>
      <c r="N13" s="26" t="str">
        <f t="shared" si="4"/>
        <v>25 NOV</v>
      </c>
    </row>
    <row r="14" spans="1:16">
      <c r="A14" s="10" t="s">
        <v>63</v>
      </c>
      <c r="B14" s="11" t="s">
        <v>34</v>
      </c>
      <c r="C14" s="10" t="s">
        <v>64</v>
      </c>
      <c r="D14" s="10">
        <v>120</v>
      </c>
      <c r="E14" s="10">
        <v>35</v>
      </c>
      <c r="F14" s="10"/>
      <c r="G14" s="11" t="str">
        <f t="shared" si="0"/>
        <v>Coffee Maker</v>
      </c>
      <c r="H14" s="11" t="str">
        <f t="shared" si="1"/>
        <v>Unknow</v>
      </c>
      <c r="I14" s="12">
        <f t="shared" si="2"/>
        <v>120</v>
      </c>
      <c r="J14" s="10">
        <v>8</v>
      </c>
      <c r="K14" s="10" t="s">
        <v>143</v>
      </c>
      <c r="L14" s="10" t="s">
        <v>124</v>
      </c>
      <c r="M14" s="10" t="str">
        <f t="shared" si="3"/>
        <v>Coffee Maker Nespresso</v>
      </c>
      <c r="N14" s="26" t="str">
        <f t="shared" si="4"/>
        <v>8 DEC</v>
      </c>
    </row>
    <row r="15" spans="1:16">
      <c r="A15" s="10" t="s">
        <v>65</v>
      </c>
      <c r="B15" s="11" t="s">
        <v>66</v>
      </c>
      <c r="C15" s="10" t="s">
        <v>67</v>
      </c>
      <c r="D15" s="10">
        <v>150</v>
      </c>
      <c r="E15" s="10">
        <v>15</v>
      </c>
      <c r="F15" s="10" t="s">
        <v>28</v>
      </c>
      <c r="G15" s="11" t="str">
        <f t="shared" si="0"/>
        <v>Smartwatch</v>
      </c>
      <c r="H15" s="11" t="str">
        <f t="shared" si="1"/>
        <v>Electronics</v>
      </c>
      <c r="I15" s="12">
        <f t="shared" si="2"/>
        <v>150</v>
      </c>
      <c r="J15" s="10">
        <v>18</v>
      </c>
      <c r="K15" s="10" t="s">
        <v>133</v>
      </c>
      <c r="L15" s="10" t="s">
        <v>125</v>
      </c>
      <c r="M15" s="10" t="str">
        <f t="shared" si="3"/>
        <v>Smartwatch Fitbit</v>
      </c>
      <c r="N15" s="26" t="str">
        <f t="shared" si="4"/>
        <v>18 FEB</v>
      </c>
    </row>
    <row r="16" spans="1:16">
      <c r="A16" s="10" t="s">
        <v>68</v>
      </c>
      <c r="B16" s="11" t="s">
        <v>69</v>
      </c>
      <c r="C16" s="10" t="s">
        <v>70</v>
      </c>
      <c r="D16" s="10">
        <v>250</v>
      </c>
      <c r="E16" s="10">
        <v>20</v>
      </c>
      <c r="F16" s="10" t="s">
        <v>28</v>
      </c>
      <c r="G16" s="11" t="str">
        <f t="shared" si="0"/>
        <v>Headphones</v>
      </c>
      <c r="H16" s="11" t="str">
        <f t="shared" si="1"/>
        <v>Electronics</v>
      </c>
      <c r="I16" s="12">
        <f t="shared" si="2"/>
        <v>250</v>
      </c>
      <c r="J16" s="10">
        <v>16</v>
      </c>
      <c r="K16" s="10" t="s">
        <v>135</v>
      </c>
      <c r="L16" s="10" t="s">
        <v>126</v>
      </c>
      <c r="M16" s="10" t="str">
        <f t="shared" si="3"/>
        <v>Headphones Bose</v>
      </c>
      <c r="N16" s="26" t="str">
        <f t="shared" si="4"/>
        <v>16 APR</v>
      </c>
    </row>
    <row r="17" spans="1:14">
      <c r="A17" s="10" t="s">
        <v>71</v>
      </c>
      <c r="B17" s="11" t="s">
        <v>72</v>
      </c>
      <c r="C17" s="10" t="s">
        <v>73</v>
      </c>
      <c r="D17" s="10">
        <v>50</v>
      </c>
      <c r="E17" s="10">
        <v>35</v>
      </c>
      <c r="F17" s="14" t="s">
        <v>74</v>
      </c>
      <c r="G17" s="15" t="str">
        <f t="shared" si="0"/>
        <v>Laptop Bag</v>
      </c>
      <c r="H17" s="15" t="str">
        <f t="shared" si="1"/>
        <v>Accessories</v>
      </c>
      <c r="I17" s="16">
        <f t="shared" si="2"/>
        <v>50</v>
      </c>
      <c r="J17" s="10">
        <v>21</v>
      </c>
      <c r="K17" s="10" t="s">
        <v>139</v>
      </c>
      <c r="L17" s="10" t="s">
        <v>125</v>
      </c>
      <c r="M17" s="10" t="str">
        <f t="shared" si="3"/>
        <v>Laptop Bag Samsonite</v>
      </c>
      <c r="N17" s="26" t="str">
        <f t="shared" si="4"/>
        <v>21 AUG</v>
      </c>
    </row>
    <row r="18" spans="1:14">
      <c r="A18" s="10" t="s">
        <v>75</v>
      </c>
      <c r="B18" s="11" t="s">
        <v>66</v>
      </c>
      <c r="C18" s="10" t="s">
        <v>76</v>
      </c>
      <c r="D18" s="10">
        <v>160</v>
      </c>
      <c r="E18" s="10">
        <v>15</v>
      </c>
      <c r="F18" s="10" t="s">
        <v>28</v>
      </c>
      <c r="G18" s="11" t="str">
        <f t="shared" si="0"/>
        <v>Smartwatch</v>
      </c>
      <c r="H18" s="11" t="str">
        <f t="shared" si="1"/>
        <v>Electronics</v>
      </c>
      <c r="I18" s="12">
        <f t="shared" si="2"/>
        <v>160</v>
      </c>
      <c r="J18" s="10">
        <v>20</v>
      </c>
      <c r="K18" s="10" t="s">
        <v>139</v>
      </c>
      <c r="L18" s="10" t="s">
        <v>127</v>
      </c>
      <c r="M18" s="10" t="str">
        <f t="shared" si="3"/>
        <v>Smartwatch Huawei</v>
      </c>
      <c r="N18" s="26" t="str">
        <f t="shared" si="4"/>
        <v>20 AUG</v>
      </c>
    </row>
    <row r="19" spans="1:14">
      <c r="A19" s="10" t="s">
        <v>77</v>
      </c>
      <c r="B19" s="11" t="s">
        <v>26</v>
      </c>
      <c r="C19" s="10" t="s">
        <v>78</v>
      </c>
      <c r="D19" s="10">
        <v>980</v>
      </c>
      <c r="E19" s="10">
        <v>10</v>
      </c>
      <c r="F19" s="17" t="s">
        <v>28</v>
      </c>
      <c r="G19" s="13" t="str">
        <f t="shared" si="0"/>
        <v>Laptop</v>
      </c>
      <c r="H19" s="13" t="str">
        <f t="shared" si="1"/>
        <v>Electronics</v>
      </c>
      <c r="I19" s="18">
        <f t="shared" si="2"/>
        <v>980</v>
      </c>
      <c r="J19" s="10">
        <v>27</v>
      </c>
      <c r="K19" s="10" t="s">
        <v>132</v>
      </c>
      <c r="L19" s="10" t="s">
        <v>128</v>
      </c>
      <c r="M19" s="10" t="str">
        <f t="shared" si="3"/>
        <v>Laptop Asus</v>
      </c>
      <c r="N19" s="26" t="str">
        <f t="shared" si="4"/>
        <v>27 JAN</v>
      </c>
    </row>
    <row r="20" spans="1:14">
      <c r="A20" s="10" t="s">
        <v>79</v>
      </c>
      <c r="B20" s="11" t="s">
        <v>80</v>
      </c>
      <c r="C20" s="10" t="s">
        <v>81</v>
      </c>
      <c r="D20" s="10">
        <v>150</v>
      </c>
      <c r="E20" s="10">
        <v>15</v>
      </c>
      <c r="F20" s="10" t="s">
        <v>32</v>
      </c>
      <c r="G20" s="11" t="str">
        <f t="shared" si="0"/>
        <v>Sunglasses</v>
      </c>
      <c r="H20" s="11" t="str">
        <f t="shared" si="1"/>
        <v>Fashion</v>
      </c>
      <c r="I20" s="12">
        <f t="shared" si="2"/>
        <v>150</v>
      </c>
      <c r="J20" s="10">
        <v>1</v>
      </c>
      <c r="K20" s="10" t="s">
        <v>134</v>
      </c>
      <c r="L20" s="10" t="s">
        <v>121</v>
      </c>
      <c r="M20" s="10" t="str">
        <f t="shared" si="3"/>
        <v>Sunglasses Oakley</v>
      </c>
      <c r="N20" s="26" t="str">
        <f t="shared" si="4"/>
        <v>1 MAR</v>
      </c>
    </row>
    <row r="21" spans="1:14">
      <c r="A21" s="10" t="s">
        <v>82</v>
      </c>
      <c r="B21" s="11" t="s">
        <v>83</v>
      </c>
      <c r="C21" s="10" t="s">
        <v>84</v>
      </c>
      <c r="D21" s="10"/>
      <c r="E21" s="10">
        <v>10</v>
      </c>
      <c r="F21" s="10" t="s">
        <v>58</v>
      </c>
      <c r="G21" s="11" t="str">
        <f t="shared" si="0"/>
        <v>Camping Tent</v>
      </c>
      <c r="H21" s="11" t="str">
        <f t="shared" si="1"/>
        <v>Outdoor</v>
      </c>
      <c r="I21" s="12">
        <f t="shared" si="2"/>
        <v>309</v>
      </c>
      <c r="J21" s="10">
        <v>14</v>
      </c>
      <c r="K21" s="10" t="s">
        <v>139</v>
      </c>
      <c r="L21" s="10" t="s">
        <v>120</v>
      </c>
      <c r="M21" s="10" t="str">
        <f t="shared" si="3"/>
        <v>Camping Tent Coleman</v>
      </c>
      <c r="N21" s="26" t="str">
        <f t="shared" si="4"/>
        <v>14 AUG</v>
      </c>
    </row>
    <row r="22" spans="1:14">
      <c r="A22" s="10" t="s">
        <v>85</v>
      </c>
      <c r="B22" s="11" t="s">
        <v>86</v>
      </c>
      <c r="C22" s="10" t="s">
        <v>87</v>
      </c>
      <c r="D22" s="10">
        <v>700</v>
      </c>
      <c r="E22" s="10">
        <v>50</v>
      </c>
      <c r="F22" s="10" t="s">
        <v>28</v>
      </c>
      <c r="G22" s="11" t="str">
        <f t="shared" si="0"/>
        <v>Camera</v>
      </c>
      <c r="H22" s="11" t="str">
        <f t="shared" si="1"/>
        <v>Electronics</v>
      </c>
      <c r="I22" s="12">
        <f t="shared" si="2"/>
        <v>700</v>
      </c>
      <c r="J22" s="10">
        <v>14</v>
      </c>
      <c r="K22" s="10" t="s">
        <v>136</v>
      </c>
      <c r="L22" s="10" t="s">
        <v>129</v>
      </c>
      <c r="M22" s="10" t="str">
        <f t="shared" si="3"/>
        <v>Camera Nikon</v>
      </c>
      <c r="N22" s="26" t="str">
        <f t="shared" si="4"/>
        <v>14 MAY</v>
      </c>
    </row>
    <row r="23" spans="1:14">
      <c r="A23" s="10" t="s">
        <v>88</v>
      </c>
      <c r="B23" s="11" t="s">
        <v>89</v>
      </c>
      <c r="C23" s="10" t="s">
        <v>90</v>
      </c>
      <c r="D23" s="10">
        <v>80</v>
      </c>
      <c r="E23" s="10">
        <v>20</v>
      </c>
      <c r="F23" s="10" t="s">
        <v>36</v>
      </c>
      <c r="G23" s="11" t="str">
        <f t="shared" si="0"/>
        <v>Microwave</v>
      </c>
      <c r="H23" s="11" t="str">
        <f t="shared" si="1"/>
        <v>Kitchen</v>
      </c>
      <c r="I23" s="12">
        <f t="shared" si="2"/>
        <v>80</v>
      </c>
      <c r="J23" s="10">
        <v>9</v>
      </c>
      <c r="K23" s="10" t="s">
        <v>132</v>
      </c>
      <c r="L23" s="10" t="s">
        <v>125</v>
      </c>
      <c r="M23" s="10" t="str">
        <f t="shared" si="3"/>
        <v>Microwave Panasonic</v>
      </c>
      <c r="N23" s="26" t="str">
        <f t="shared" si="4"/>
        <v>9 JAN</v>
      </c>
    </row>
    <row r="24" spans="1:14">
      <c r="A24" s="10" t="s">
        <v>91</v>
      </c>
      <c r="B24" s="11" t="s">
        <v>92</v>
      </c>
      <c r="C24" s="10" t="s">
        <v>93</v>
      </c>
      <c r="D24" s="10">
        <v>150</v>
      </c>
      <c r="E24" s="10">
        <v>30</v>
      </c>
      <c r="F24" s="10"/>
      <c r="G24" s="11" t="str">
        <f t="shared" si="0"/>
        <v>Fitness Tracker</v>
      </c>
      <c r="H24" s="11" t="str">
        <f t="shared" si="1"/>
        <v>Unknow</v>
      </c>
      <c r="I24" s="12">
        <f t="shared" si="2"/>
        <v>150</v>
      </c>
      <c r="J24" s="10">
        <v>19</v>
      </c>
      <c r="K24" s="10" t="s">
        <v>138</v>
      </c>
      <c r="L24" s="10" t="s">
        <v>130</v>
      </c>
      <c r="M24" s="10" t="str">
        <f t="shared" si="3"/>
        <v>Fitness Tracker Xiaomi</v>
      </c>
      <c r="N24" s="26" t="str">
        <f t="shared" si="4"/>
        <v>19 JUL</v>
      </c>
    </row>
    <row r="25" spans="1:14">
      <c r="A25" s="14" t="s">
        <v>71</v>
      </c>
      <c r="B25" s="15" t="s">
        <v>72</v>
      </c>
      <c r="C25" s="14" t="s">
        <v>73</v>
      </c>
      <c r="D25" s="19">
        <v>50</v>
      </c>
      <c r="E25" s="19">
        <v>35</v>
      </c>
      <c r="F25" s="14" t="s">
        <v>74</v>
      </c>
      <c r="G25" s="15" t="str">
        <f t="shared" si="0"/>
        <v>Laptop Bag</v>
      </c>
      <c r="H25" s="15" t="str">
        <f t="shared" si="1"/>
        <v>Accessories</v>
      </c>
      <c r="I25" s="16">
        <f t="shared" si="2"/>
        <v>50</v>
      </c>
      <c r="J25" s="14">
        <v>21</v>
      </c>
      <c r="K25" s="14" t="s">
        <v>139</v>
      </c>
      <c r="L25" s="14" t="s">
        <v>125</v>
      </c>
      <c r="M25" s="14" t="str">
        <f t="shared" si="3"/>
        <v>Laptop Bag Samsonite</v>
      </c>
      <c r="N25" s="27" t="str">
        <f t="shared" si="4"/>
        <v>21 AUG</v>
      </c>
    </row>
    <row r="26" spans="1:14">
      <c r="A26" s="10" t="s">
        <v>94</v>
      </c>
      <c r="B26" s="11" t="s">
        <v>95</v>
      </c>
      <c r="C26" s="10" t="s">
        <v>96</v>
      </c>
      <c r="D26" s="10">
        <v>800</v>
      </c>
      <c r="E26" s="10">
        <v>45</v>
      </c>
      <c r="F26" s="10" t="s">
        <v>28</v>
      </c>
      <c r="G26" s="11" t="str">
        <f t="shared" si="0"/>
        <v>Smartphone</v>
      </c>
      <c r="H26" s="11" t="str">
        <f t="shared" si="1"/>
        <v>Electronics</v>
      </c>
      <c r="I26" s="12">
        <f t="shared" si="2"/>
        <v>800</v>
      </c>
      <c r="J26" s="10">
        <v>29</v>
      </c>
      <c r="K26" s="10" t="s">
        <v>140</v>
      </c>
      <c r="L26" s="10" t="s">
        <v>125</v>
      </c>
      <c r="M26" s="10" t="str">
        <f t="shared" si="3"/>
        <v>Smartphone Google</v>
      </c>
      <c r="N26" s="26" t="str">
        <f t="shared" si="4"/>
        <v>29 SEP</v>
      </c>
    </row>
    <row r="27" spans="1:14">
      <c r="A27" s="10" t="s">
        <v>97</v>
      </c>
      <c r="B27" s="11" t="s">
        <v>80</v>
      </c>
      <c r="C27" s="10" t="s">
        <v>98</v>
      </c>
      <c r="D27" s="10"/>
      <c r="E27" s="10">
        <v>25</v>
      </c>
      <c r="F27" s="10" t="s">
        <v>32</v>
      </c>
      <c r="G27" s="11" t="str">
        <f t="shared" si="0"/>
        <v>Sunglasses</v>
      </c>
      <c r="H27" s="11" t="str">
        <f t="shared" si="1"/>
        <v>Fashion</v>
      </c>
      <c r="I27" s="12">
        <f t="shared" si="2"/>
        <v>309</v>
      </c>
      <c r="J27" s="10">
        <v>3</v>
      </c>
      <c r="K27" s="10" t="s">
        <v>137</v>
      </c>
      <c r="L27" s="10" t="s">
        <v>125</v>
      </c>
      <c r="M27" s="10" t="str">
        <f t="shared" si="3"/>
        <v>Sunglasses Ray-Ban</v>
      </c>
      <c r="N27" s="26" t="str">
        <f t="shared" si="4"/>
        <v>3 JUN</v>
      </c>
    </row>
    <row r="28" spans="1:14">
      <c r="A28" s="10" t="s">
        <v>99</v>
      </c>
      <c r="B28" s="11" t="s">
        <v>50</v>
      </c>
      <c r="C28" s="10" t="s">
        <v>100</v>
      </c>
      <c r="D28" s="10">
        <v>400</v>
      </c>
      <c r="E28" s="10">
        <v>40</v>
      </c>
      <c r="F28" s="10" t="s">
        <v>36</v>
      </c>
      <c r="G28" s="11" t="str">
        <f t="shared" si="0"/>
        <v>Blender</v>
      </c>
      <c r="H28" s="11" t="str">
        <f t="shared" si="1"/>
        <v>Kitchen</v>
      </c>
      <c r="I28" s="12">
        <f t="shared" si="2"/>
        <v>400</v>
      </c>
      <c r="J28" s="10">
        <v>11</v>
      </c>
      <c r="K28" s="10" t="s">
        <v>138</v>
      </c>
      <c r="L28" s="10" t="s">
        <v>125</v>
      </c>
      <c r="M28" s="10" t="str">
        <f t="shared" si="3"/>
        <v>Blender Vitamix</v>
      </c>
      <c r="N28" s="26" t="str">
        <f t="shared" si="4"/>
        <v>11 JUL</v>
      </c>
    </row>
    <row r="29" spans="1:14">
      <c r="A29" s="14" t="s">
        <v>68</v>
      </c>
      <c r="B29" s="15" t="s">
        <v>69</v>
      </c>
      <c r="C29" s="14" t="s">
        <v>70</v>
      </c>
      <c r="D29" s="19">
        <v>250</v>
      </c>
      <c r="E29" s="19">
        <v>20</v>
      </c>
      <c r="F29" s="14" t="s">
        <v>28</v>
      </c>
      <c r="G29" s="15" t="str">
        <f t="shared" si="0"/>
        <v>Headphones</v>
      </c>
      <c r="H29" s="15" t="str">
        <f t="shared" si="1"/>
        <v>Electronics</v>
      </c>
      <c r="I29" s="16">
        <f t="shared" si="2"/>
        <v>250</v>
      </c>
      <c r="J29" s="14">
        <v>16</v>
      </c>
      <c r="K29" s="14" t="s">
        <v>135</v>
      </c>
      <c r="L29" s="14" t="s">
        <v>126</v>
      </c>
      <c r="M29" s="14" t="str">
        <f t="shared" si="3"/>
        <v>Headphones Bose</v>
      </c>
      <c r="N29" s="27" t="str">
        <f t="shared" si="4"/>
        <v>16 APR</v>
      </c>
    </row>
    <row r="30" spans="1:14">
      <c r="A30" s="10" t="s">
        <v>101</v>
      </c>
      <c r="B30" s="11" t="s">
        <v>102</v>
      </c>
      <c r="C30" s="10" t="s">
        <v>103</v>
      </c>
      <c r="D30" s="10">
        <v>60</v>
      </c>
      <c r="E30" s="10">
        <v>30</v>
      </c>
      <c r="F30" s="10" t="s">
        <v>32</v>
      </c>
      <c r="G30" s="11" t="str">
        <f t="shared" si="0"/>
        <v>Dress</v>
      </c>
      <c r="H30" s="11" t="str">
        <f t="shared" si="1"/>
        <v>Fashion</v>
      </c>
      <c r="I30" s="12">
        <f t="shared" si="2"/>
        <v>60</v>
      </c>
      <c r="J30" s="10">
        <v>7</v>
      </c>
      <c r="K30" s="10" t="s">
        <v>134</v>
      </c>
      <c r="L30" s="10" t="s">
        <v>125</v>
      </c>
      <c r="M30" s="10" t="str">
        <f t="shared" si="3"/>
        <v>Dress Zara</v>
      </c>
      <c r="N30" s="26" t="str">
        <f t="shared" si="4"/>
        <v>7 MAR</v>
      </c>
    </row>
    <row r="31" spans="1:14">
      <c r="A31" s="10" t="s">
        <v>104</v>
      </c>
      <c r="B31" s="11" t="s">
        <v>105</v>
      </c>
      <c r="C31" s="10" t="s">
        <v>106</v>
      </c>
      <c r="D31" s="10">
        <v>40</v>
      </c>
      <c r="E31" s="10">
        <v>10</v>
      </c>
      <c r="F31" s="10" t="s">
        <v>36</v>
      </c>
      <c r="G31" s="11" t="str">
        <f t="shared" si="0"/>
        <v>Toaster</v>
      </c>
      <c r="H31" s="11" t="str">
        <f t="shared" si="1"/>
        <v>Kitchen</v>
      </c>
      <c r="I31" s="12">
        <f t="shared" si="2"/>
        <v>40</v>
      </c>
      <c r="J31" s="10">
        <v>13</v>
      </c>
      <c r="K31" s="10" t="s">
        <v>135</v>
      </c>
      <c r="L31" s="10" t="s">
        <v>125</v>
      </c>
      <c r="M31" s="10" t="str">
        <f t="shared" si="3"/>
        <v>Toaster Hamilton</v>
      </c>
      <c r="N31" s="26" t="str">
        <f t="shared" si="4"/>
        <v>13 APR</v>
      </c>
    </row>
    <row r="32" spans="1:14">
      <c r="A32" s="10" t="s">
        <v>107</v>
      </c>
      <c r="B32" s="11" t="s">
        <v>92</v>
      </c>
      <c r="C32" s="10" t="s">
        <v>108</v>
      </c>
      <c r="D32" s="10">
        <v>130</v>
      </c>
      <c r="E32" s="10">
        <v>5</v>
      </c>
      <c r="F32" s="10" t="s">
        <v>28</v>
      </c>
      <c r="G32" s="11" t="str">
        <f t="shared" si="0"/>
        <v>Fitness Tracker</v>
      </c>
      <c r="H32" s="11" t="str">
        <f t="shared" si="1"/>
        <v>Electronics</v>
      </c>
      <c r="I32" s="12">
        <f t="shared" si="2"/>
        <v>130</v>
      </c>
      <c r="J32" s="10">
        <v>24</v>
      </c>
      <c r="K32" s="10" t="s">
        <v>136</v>
      </c>
      <c r="L32" s="10" t="s">
        <v>125</v>
      </c>
      <c r="M32" s="10" t="str">
        <f t="shared" si="3"/>
        <v>Fitness Tracker Garmin</v>
      </c>
      <c r="N32" s="26" t="str">
        <f t="shared" si="4"/>
        <v>24 MAY</v>
      </c>
    </row>
    <row r="33" spans="1:14">
      <c r="A33" s="10" t="s">
        <v>109</v>
      </c>
      <c r="B33" s="11" t="s">
        <v>110</v>
      </c>
      <c r="C33" s="10" t="s">
        <v>111</v>
      </c>
      <c r="D33" s="10">
        <v>50</v>
      </c>
      <c r="E33" s="10">
        <v>50</v>
      </c>
      <c r="F33" s="10" t="s">
        <v>32</v>
      </c>
      <c r="G33" s="11" t="str">
        <f t="shared" si="0"/>
        <v>Jeans</v>
      </c>
      <c r="H33" s="11" t="str">
        <f t="shared" si="1"/>
        <v>Fashion</v>
      </c>
      <c r="I33" s="12">
        <f t="shared" si="2"/>
        <v>50</v>
      </c>
      <c r="J33" s="10">
        <v>2</v>
      </c>
      <c r="K33" s="10" t="s">
        <v>143</v>
      </c>
      <c r="L33" s="10" t="s">
        <v>125</v>
      </c>
      <c r="M33" s="10" t="str">
        <f t="shared" si="3"/>
        <v>Jeans Levi's</v>
      </c>
      <c r="N33" s="26" t="str">
        <f t="shared" si="4"/>
        <v>2 DEC</v>
      </c>
    </row>
    <row r="34" spans="1:14">
      <c r="A34" s="10" t="s">
        <v>59</v>
      </c>
      <c r="B34" s="11" t="s">
        <v>60</v>
      </c>
      <c r="C34" s="10" t="s">
        <v>61</v>
      </c>
      <c r="D34" s="10">
        <v>950</v>
      </c>
      <c r="E34" s="10">
        <v>25</v>
      </c>
      <c r="F34" s="10" t="s">
        <v>28</v>
      </c>
      <c r="G34" s="11" t="str">
        <f t="shared" si="0"/>
        <v>Laptop</v>
      </c>
      <c r="H34" s="11" t="str">
        <f t="shared" si="1"/>
        <v>Electronics</v>
      </c>
      <c r="I34" s="12">
        <f t="shared" si="2"/>
        <v>950</v>
      </c>
      <c r="J34" s="10">
        <v>17</v>
      </c>
      <c r="K34" s="10" t="s">
        <v>137</v>
      </c>
      <c r="L34" s="10" t="s">
        <v>122</v>
      </c>
      <c r="M34" s="10" t="str">
        <f t="shared" si="3"/>
        <v>Laptop HP</v>
      </c>
      <c r="N34" s="26" t="str">
        <f t="shared" si="4"/>
        <v>17 JUN</v>
      </c>
    </row>
    <row r="35" spans="1:14">
      <c r="A35" s="10" t="s">
        <v>112</v>
      </c>
      <c r="B35" s="11" t="s">
        <v>113</v>
      </c>
      <c r="C35" s="10" t="s">
        <v>114</v>
      </c>
      <c r="D35" s="10">
        <v>100</v>
      </c>
      <c r="E35" s="10">
        <v>20</v>
      </c>
      <c r="F35" s="10" t="s">
        <v>74</v>
      </c>
      <c r="G35" s="11" t="str">
        <f t="shared" si="0"/>
        <v>Watch</v>
      </c>
      <c r="H35" s="11" t="str">
        <f t="shared" si="1"/>
        <v>Accessories</v>
      </c>
      <c r="I35" s="12">
        <f t="shared" si="2"/>
        <v>100</v>
      </c>
      <c r="J35" s="10">
        <v>9</v>
      </c>
      <c r="K35" s="10" t="s">
        <v>138</v>
      </c>
      <c r="L35" s="10" t="s">
        <v>131</v>
      </c>
      <c r="M35" s="10" t="str">
        <f t="shared" si="3"/>
        <v>Watch Casio</v>
      </c>
      <c r="N35" s="26" t="str">
        <f t="shared" si="4"/>
        <v>9 JUL</v>
      </c>
    </row>
  </sheetData>
  <conditionalFormatting sqref="I2:I35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{7C177101-126A-4E93-B23D-BBCDAD291206}</x14:id>
        </ext>
      </extLst>
    </cfRule>
  </conditionalFormatting>
  <conditionalFormatting sqref="H1:H1048576">
    <cfRule type="expression" priority="2">
      <formula>"Electronics"</formula>
    </cfRule>
    <cfRule type="expression" priority="3">
      <formula>"Electronics"</formula>
    </cfRule>
  </conditionalFormatting>
  <conditionalFormatting sqref="H2:H35">
    <cfRule type="containsText" dxfId="15" priority="1" operator="containsText" text="Electronics">
      <formula>NOT(ISERROR(SEARCH("Electronics",H2)))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177101-126A-4E93-B23D-BBCDAD2912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I2:I35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G24" sqref="G24"/>
    </sheetView>
  </sheetViews>
  <sheetFormatPr defaultRowHeight="13.2"/>
  <cols>
    <col min="1" max="2" width="18.21875" bestFit="1" customWidth="1"/>
    <col min="3" max="3" width="22.6640625" bestFit="1" customWidth="1"/>
    <col min="4" max="4" width="16.6640625" customWidth="1"/>
    <col min="5" max="5" width="10.88671875" customWidth="1"/>
    <col min="6" max="6" width="18.77734375" bestFit="1" customWidth="1"/>
    <col min="10" max="10" width="18" bestFit="1" customWidth="1"/>
  </cols>
  <sheetData>
    <row r="1" spans="1:6">
      <c r="A1" s="28" t="s">
        <v>147</v>
      </c>
      <c r="B1" s="28" t="s">
        <v>144</v>
      </c>
      <c r="C1" s="28" t="s">
        <v>118</v>
      </c>
      <c r="D1" s="28" t="s">
        <v>180</v>
      </c>
      <c r="E1" s="28" t="s">
        <v>23</v>
      </c>
      <c r="F1" s="28" t="s">
        <v>115</v>
      </c>
    </row>
    <row r="2" spans="1:6">
      <c r="A2" s="29" t="s">
        <v>149</v>
      </c>
      <c r="B2" s="29" t="s">
        <v>120</v>
      </c>
      <c r="C2" s="29" t="s">
        <v>60</v>
      </c>
      <c r="D2" s="30">
        <v>1000</v>
      </c>
      <c r="E2" s="29">
        <v>30</v>
      </c>
      <c r="F2" s="29" t="s">
        <v>28</v>
      </c>
    </row>
    <row r="3" spans="1:6">
      <c r="A3" s="24" t="s">
        <v>150</v>
      </c>
      <c r="B3" s="24" t="s">
        <v>120</v>
      </c>
      <c r="C3" s="24" t="s">
        <v>30</v>
      </c>
      <c r="D3" s="25">
        <v>80</v>
      </c>
      <c r="E3" s="24">
        <v>15</v>
      </c>
      <c r="F3" s="24" t="s">
        <v>32</v>
      </c>
    </row>
    <row r="4" spans="1:6">
      <c r="A4" s="29" t="s">
        <v>151</v>
      </c>
      <c r="B4" s="29" t="s">
        <v>120</v>
      </c>
      <c r="C4" s="29" t="s">
        <v>34</v>
      </c>
      <c r="D4" s="30">
        <v>130</v>
      </c>
      <c r="E4" s="29">
        <v>40</v>
      </c>
      <c r="F4" s="29" t="s">
        <v>36</v>
      </c>
    </row>
    <row r="5" spans="1:6">
      <c r="A5" s="24" t="s">
        <v>152</v>
      </c>
      <c r="B5" s="24" t="s">
        <v>120</v>
      </c>
      <c r="C5" s="24" t="s">
        <v>95</v>
      </c>
      <c r="D5" s="25">
        <v>900</v>
      </c>
      <c r="E5" s="24">
        <v>25</v>
      </c>
      <c r="F5" s="24" t="s">
        <v>28</v>
      </c>
    </row>
    <row r="6" spans="1:6">
      <c r="A6" s="29" t="s">
        <v>153</v>
      </c>
      <c r="B6" s="29" t="s">
        <v>120</v>
      </c>
      <c r="C6" s="29" t="s">
        <v>41</v>
      </c>
      <c r="D6" s="30">
        <v>70</v>
      </c>
      <c r="E6" s="29">
        <v>20</v>
      </c>
      <c r="F6" s="29" t="s">
        <v>179</v>
      </c>
    </row>
    <row r="7" spans="1:6">
      <c r="A7" s="24" t="s">
        <v>154</v>
      </c>
      <c r="B7" s="24" t="s">
        <v>121</v>
      </c>
      <c r="C7" s="24" t="s">
        <v>44</v>
      </c>
      <c r="D7" s="25">
        <v>309</v>
      </c>
      <c r="E7" s="24">
        <v>45</v>
      </c>
      <c r="F7" s="24" t="s">
        <v>28</v>
      </c>
    </row>
    <row r="8" spans="1:6">
      <c r="A8" s="29" t="s">
        <v>155</v>
      </c>
      <c r="B8" s="29" t="s">
        <v>121</v>
      </c>
      <c r="C8" s="29" t="s">
        <v>181</v>
      </c>
      <c r="D8" s="30">
        <v>30</v>
      </c>
      <c r="E8" s="29">
        <v>5</v>
      </c>
      <c r="F8" s="29" t="s">
        <v>32</v>
      </c>
    </row>
    <row r="9" spans="1:6">
      <c r="A9" s="24" t="s">
        <v>156</v>
      </c>
      <c r="B9" s="24" t="s">
        <v>121</v>
      </c>
      <c r="C9" s="24" t="s">
        <v>50</v>
      </c>
      <c r="D9" s="25">
        <v>90</v>
      </c>
      <c r="E9" s="24">
        <v>35</v>
      </c>
      <c r="F9" s="24" t="s">
        <v>36</v>
      </c>
    </row>
    <row r="10" spans="1:6">
      <c r="A10" s="29" t="s">
        <v>157</v>
      </c>
      <c r="B10" s="29" t="s">
        <v>121</v>
      </c>
      <c r="C10" s="29" t="s">
        <v>53</v>
      </c>
      <c r="D10" s="30">
        <v>500</v>
      </c>
      <c r="E10" s="29">
        <v>50</v>
      </c>
      <c r="F10" s="29" t="s">
        <v>28</v>
      </c>
    </row>
    <row r="11" spans="1:6">
      <c r="A11" s="24" t="s">
        <v>158</v>
      </c>
      <c r="B11" s="24" t="s">
        <v>121</v>
      </c>
      <c r="C11" s="24" t="s">
        <v>56</v>
      </c>
      <c r="D11" s="25">
        <v>130</v>
      </c>
      <c r="E11" s="24">
        <v>10</v>
      </c>
      <c r="F11" s="24" t="s">
        <v>58</v>
      </c>
    </row>
    <row r="12" spans="1:6">
      <c r="A12" s="29" t="s">
        <v>159</v>
      </c>
      <c r="B12" s="29" t="s">
        <v>122</v>
      </c>
      <c r="C12" s="29" t="s">
        <v>60</v>
      </c>
      <c r="D12" s="30">
        <v>950</v>
      </c>
      <c r="E12" s="29">
        <v>25</v>
      </c>
      <c r="F12" s="29" t="s">
        <v>28</v>
      </c>
    </row>
    <row r="13" spans="1:6">
      <c r="A13" s="24" t="s">
        <v>160</v>
      </c>
      <c r="B13" s="24" t="s">
        <v>123</v>
      </c>
      <c r="C13" s="24" t="s">
        <v>30</v>
      </c>
      <c r="D13" s="25">
        <v>90</v>
      </c>
      <c r="E13" s="24">
        <v>40</v>
      </c>
      <c r="F13" s="24" t="s">
        <v>179</v>
      </c>
    </row>
    <row r="14" spans="1:6">
      <c r="A14" s="29" t="s">
        <v>161</v>
      </c>
      <c r="B14" s="29" t="s">
        <v>124</v>
      </c>
      <c r="C14" s="29" t="s">
        <v>34</v>
      </c>
      <c r="D14" s="30">
        <v>120</v>
      </c>
      <c r="E14" s="29">
        <v>35</v>
      </c>
      <c r="F14" s="29" t="s">
        <v>179</v>
      </c>
    </row>
    <row r="15" spans="1:6">
      <c r="A15" s="24" t="s">
        <v>162</v>
      </c>
      <c r="B15" s="24" t="s">
        <v>125</v>
      </c>
      <c r="C15" s="24" t="s">
        <v>66</v>
      </c>
      <c r="D15" s="25">
        <v>150</v>
      </c>
      <c r="E15" s="24">
        <v>15</v>
      </c>
      <c r="F15" s="24" t="s">
        <v>28</v>
      </c>
    </row>
    <row r="16" spans="1:6">
      <c r="A16" s="29" t="s">
        <v>163</v>
      </c>
      <c r="B16" s="29" t="s">
        <v>126</v>
      </c>
      <c r="C16" s="29" t="s">
        <v>44</v>
      </c>
      <c r="D16" s="30">
        <v>250</v>
      </c>
      <c r="E16" s="29">
        <v>20</v>
      </c>
      <c r="F16" s="29" t="s">
        <v>28</v>
      </c>
    </row>
    <row r="17" spans="1:11">
      <c r="A17" s="24" t="s">
        <v>164</v>
      </c>
      <c r="B17" s="24" t="s">
        <v>125</v>
      </c>
      <c r="C17" s="24" t="s">
        <v>72</v>
      </c>
      <c r="D17" s="25">
        <v>50</v>
      </c>
      <c r="E17" s="24">
        <v>35</v>
      </c>
      <c r="F17" s="24" t="s">
        <v>74</v>
      </c>
    </row>
    <row r="18" spans="1:11">
      <c r="A18" s="29" t="s">
        <v>165</v>
      </c>
      <c r="B18" s="29" t="s">
        <v>127</v>
      </c>
      <c r="C18" s="29" t="s">
        <v>66</v>
      </c>
      <c r="D18" s="30">
        <v>160</v>
      </c>
      <c r="E18" s="29">
        <v>15</v>
      </c>
      <c r="F18" s="29" t="s">
        <v>28</v>
      </c>
    </row>
    <row r="19" spans="1:11">
      <c r="A19" s="24" t="s">
        <v>166</v>
      </c>
      <c r="B19" s="24" t="s">
        <v>128</v>
      </c>
      <c r="C19" s="24" t="s">
        <v>60</v>
      </c>
      <c r="D19" s="25">
        <v>980</v>
      </c>
      <c r="E19" s="24">
        <v>10</v>
      </c>
      <c r="F19" s="24" t="s">
        <v>28</v>
      </c>
    </row>
    <row r="20" spans="1:11">
      <c r="A20" s="29" t="s">
        <v>167</v>
      </c>
      <c r="B20" s="29" t="s">
        <v>121</v>
      </c>
      <c r="C20" s="29" t="s">
        <v>80</v>
      </c>
      <c r="D20" s="30">
        <v>150</v>
      </c>
      <c r="E20" s="29">
        <v>15</v>
      </c>
      <c r="F20" s="29" t="s">
        <v>32</v>
      </c>
    </row>
    <row r="21" spans="1:11">
      <c r="A21" s="24" t="s">
        <v>168</v>
      </c>
      <c r="B21" s="24" t="s">
        <v>120</v>
      </c>
      <c r="C21" s="24" t="s">
        <v>83</v>
      </c>
      <c r="D21" s="25">
        <v>309</v>
      </c>
      <c r="E21" s="24">
        <v>10</v>
      </c>
      <c r="F21" s="24" t="s">
        <v>58</v>
      </c>
    </row>
    <row r="22" spans="1:11">
      <c r="A22" s="29" t="s">
        <v>169</v>
      </c>
      <c r="B22" s="29" t="s">
        <v>129</v>
      </c>
      <c r="C22" s="29" t="s">
        <v>86</v>
      </c>
      <c r="D22" s="30">
        <v>700</v>
      </c>
      <c r="E22" s="29">
        <v>50</v>
      </c>
      <c r="F22" s="29" t="s">
        <v>28</v>
      </c>
    </row>
    <row r="23" spans="1:11">
      <c r="A23" s="24" t="s">
        <v>170</v>
      </c>
      <c r="B23" s="24" t="s">
        <v>125</v>
      </c>
      <c r="C23" s="24" t="s">
        <v>89</v>
      </c>
      <c r="D23" s="25">
        <v>80</v>
      </c>
      <c r="E23" s="24">
        <v>20</v>
      </c>
      <c r="F23" s="24" t="s">
        <v>36</v>
      </c>
    </row>
    <row r="24" spans="1:11">
      <c r="A24" s="29" t="s">
        <v>155</v>
      </c>
      <c r="B24" s="29" t="s">
        <v>130</v>
      </c>
      <c r="C24" s="29" t="s">
        <v>92</v>
      </c>
      <c r="D24" s="30">
        <v>150</v>
      </c>
      <c r="E24" s="29">
        <v>30</v>
      </c>
      <c r="F24" s="29" t="s">
        <v>179</v>
      </c>
      <c r="J24" s="31" t="s">
        <v>182</v>
      </c>
      <c r="K24" s="32">
        <v>3</v>
      </c>
    </row>
    <row r="25" spans="1:11">
      <c r="A25" s="29" t="s">
        <v>171</v>
      </c>
      <c r="B25" s="29" t="s">
        <v>125</v>
      </c>
      <c r="C25" s="29" t="s">
        <v>95</v>
      </c>
      <c r="D25" s="30">
        <v>800</v>
      </c>
      <c r="E25" s="29">
        <v>45</v>
      </c>
      <c r="F25" s="29" t="s">
        <v>28</v>
      </c>
    </row>
    <row r="26" spans="1:11">
      <c r="A26" s="24" t="s">
        <v>172</v>
      </c>
      <c r="B26" s="24" t="s">
        <v>125</v>
      </c>
      <c r="C26" s="24" t="s">
        <v>80</v>
      </c>
      <c r="D26" s="25">
        <v>309</v>
      </c>
      <c r="E26" s="24">
        <v>25</v>
      </c>
      <c r="F26" s="24" t="s">
        <v>32</v>
      </c>
    </row>
    <row r="27" spans="1:11">
      <c r="A27" s="29" t="s">
        <v>173</v>
      </c>
      <c r="B27" s="29" t="s">
        <v>125</v>
      </c>
      <c r="C27" s="29" t="s">
        <v>50</v>
      </c>
      <c r="D27" s="30">
        <v>400</v>
      </c>
      <c r="E27" s="29">
        <v>40</v>
      </c>
      <c r="F27" s="29" t="s">
        <v>36</v>
      </c>
    </row>
    <row r="28" spans="1:11">
      <c r="A28" s="29" t="s">
        <v>174</v>
      </c>
      <c r="B28" s="29" t="s">
        <v>125</v>
      </c>
      <c r="C28" s="29" t="s">
        <v>102</v>
      </c>
      <c r="D28" s="30">
        <v>60</v>
      </c>
      <c r="E28" s="29">
        <v>30</v>
      </c>
      <c r="F28" s="29" t="s">
        <v>32</v>
      </c>
    </row>
    <row r="29" spans="1:11">
      <c r="A29" s="24" t="s">
        <v>175</v>
      </c>
      <c r="B29" s="24" t="s">
        <v>125</v>
      </c>
      <c r="C29" s="24" t="s">
        <v>105</v>
      </c>
      <c r="D29" s="25">
        <v>40</v>
      </c>
      <c r="E29" s="24">
        <v>10</v>
      </c>
      <c r="F29" s="24" t="s">
        <v>36</v>
      </c>
    </row>
    <row r="30" spans="1:11">
      <c r="A30" s="29" t="s">
        <v>176</v>
      </c>
      <c r="B30" s="29" t="s">
        <v>125</v>
      </c>
      <c r="C30" s="29" t="s">
        <v>92</v>
      </c>
      <c r="D30" s="30">
        <v>130</v>
      </c>
      <c r="E30" s="29">
        <v>5</v>
      </c>
      <c r="F30" s="29" t="s">
        <v>28</v>
      </c>
    </row>
    <row r="31" spans="1:11">
      <c r="A31" s="24" t="s">
        <v>177</v>
      </c>
      <c r="B31" s="24" t="s">
        <v>125</v>
      </c>
      <c r="C31" s="24" t="s">
        <v>110</v>
      </c>
      <c r="D31" s="25">
        <v>50</v>
      </c>
      <c r="E31" s="24">
        <v>50</v>
      </c>
      <c r="F31" s="24" t="s">
        <v>32</v>
      </c>
    </row>
    <row r="32" spans="1:11">
      <c r="A32" s="24" t="s">
        <v>178</v>
      </c>
      <c r="B32" s="24" t="s">
        <v>131</v>
      </c>
      <c r="C32" s="24" t="s">
        <v>113</v>
      </c>
      <c r="D32" s="25">
        <v>100</v>
      </c>
      <c r="E32" s="24">
        <v>20</v>
      </c>
      <c r="F32" s="24" t="s">
        <v>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Cleanned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Solo King</cp:lastModifiedBy>
  <dcterms:modified xsi:type="dcterms:W3CDTF">2024-10-28T05:54:22Z</dcterms:modified>
</cp:coreProperties>
</file>